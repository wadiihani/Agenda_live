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tro &amp; Theme" sheetId="1" r:id="rId5"/>
    <sheet state="visible" name="LCM | Parents Day" sheetId="2" r:id="rId6"/>
    <sheet state="visible" name="AGENDA" sheetId="3" r:id="rId7"/>
    <sheet state="visible" name="Sessions Objectives &amp; dispatchi" sheetId="4" r:id="rId8"/>
    <sheet state="visible" name="Copy of AGENDA" sheetId="5" r:id="rId9"/>
    <sheet state="visible" name="OUTLINE (Make A copy)" sheetId="6" r:id="rId10"/>
    <sheet state="visible" name=" OUTLINE Synergy – The Battle F" sheetId="7" r:id="rId11"/>
    <sheet state="visible" name="OUTLINE What Is Not a Team – No" sheetId="8" r:id="rId12"/>
    <sheet state="visible" name="OUTLINE oGT Functional Space–Th" sheetId="9" r:id="rId13"/>
    <sheet state="visible" name="Outline Types of Cultures – The" sheetId="10" r:id="rId14"/>
  </sheets>
  <definedNames/>
  <calcPr/>
</workbook>
</file>

<file path=xl/sharedStrings.xml><?xml version="1.0" encoding="utf-8"?>
<sst xmlns="http://schemas.openxmlformats.org/spreadsheetml/2006/main" count="416" uniqueCount="220">
  <si>
    <t>ù</t>
  </si>
  <si>
    <t xml:space="preserve"> </t>
  </si>
  <si>
    <t xml:space="preserve">LCM | Cocktel des parents </t>
  </si>
  <si>
    <t>Slides Template 
link</t>
  </si>
  <si>
    <t>PIC</t>
  </si>
  <si>
    <t>*</t>
  </si>
  <si>
    <t>Time / Tribe</t>
  </si>
  <si>
    <t>Day</t>
  </si>
  <si>
    <t>Day 1</t>
  </si>
  <si>
    <t>Theme Explanation</t>
  </si>
  <si>
    <t>Session</t>
  </si>
  <si>
    <t>Faci</t>
  </si>
  <si>
    <t>Duration (mins)</t>
  </si>
  <si>
    <t>FACI buddy</t>
  </si>
  <si>
    <t>Type of session</t>
  </si>
  <si>
    <t>session Objective</t>
  </si>
  <si>
    <t>Emotions / Feelings to deliver</t>
  </si>
  <si>
    <t>Outline (by Faci)</t>
  </si>
  <si>
    <t>Materials Needed for the Session ( music , video , tool links , Logistical materials , etc.)</t>
  </si>
  <si>
    <t>D0</t>
  </si>
  <si>
    <t>MM Calibration Meeting – The Avengers Initiative</t>
  </si>
  <si>
    <t>Day 2</t>
  </si>
  <si>
    <t>Day 3</t>
  </si>
  <si>
    <t>^^^^^^^^^^^^^^^^^^^^^^^ù^*</t>
  </si>
  <si>
    <t>meryem</t>
  </si>
  <si>
    <t>Accueil &amp; Ouverture</t>
  </si>
  <si>
    <t>45 mins</t>
  </si>
  <si>
    <t>LCP</t>
  </si>
  <si>
    <t>All Membership</t>
  </si>
  <si>
    <t>Keynote</t>
  </si>
  <si>
    <t>Align all Middle Managers on their responsibilities, expectations, standards, KPIs, and ways of working, ensuring each MM understands what they are accountable for.</t>
  </si>
  <si>
    <t>Newbies</t>
  </si>
  <si>
    <t>Clarity, responsibility, confidence, commitment</t>
  </si>
  <si>
    <t xml:space="preserve">iGV members </t>
  </si>
  <si>
    <t>AVENGERS</t>
  </si>
  <si>
    <t>New Member / MX Standards – The Code of the Avengers</t>
  </si>
  <si>
    <t>30 mins</t>
  </si>
  <si>
    <t>Qu'est-ce qu'AIESEC ?</t>
  </si>
  <si>
    <t>MMs&amp;Oldies</t>
  </si>
  <si>
    <t>AIESEC Rabat has spent the last six months in its own kind of Civil War.
Not because we lacked talented people. Not because we lacked potential. But because our strengths were not always connected by one common mission.
Leadership became disconnected. Conflicts created distance. Departments became more siloed. Functional capacity was not always strong enough to execute. Marketing struggled to create intentional attraction, while OPEX faced conversion and execution challenges. IR and ER connections were not strong enough, and the LC gradually lost some of the unity and accountability needed to move as one team.
Just like the Avengers, we discovered that having powerful individuals does not automatically create a powerful team.
Iron Man has his strengths. Captain America has his strengths. But when the Avengers stop trusting, communicating and aligning, their powers become useless against the real threat.
This conference is our Avengers: Endgame moment.
We are not here to erase what happened. We are here to face it.
To understand the conflicts. To take accountability. To reconnect the team. To rebuild leadership. To strengthen our functional capacity.
And most importantly, to develop the next generation of Avengers who will not repeat the mistakes of the previous one.
Because the goal is not to create one hero who saves Rabat.
The goal is to build a team capable of saving itself.
Different powers. Different perspectives. One team. One mission.
Avengers, Assemble.</t>
  </si>
  <si>
    <t>Workshop</t>
  </si>
  <si>
    <t>Check In</t>
  </si>
  <si>
    <t>Ensure new members understand the behavioral, professional, and cultural standards expected within the LC, including communication, punctuality, ownership, accountability, and respect.</t>
  </si>
  <si>
    <t>VP TM</t>
  </si>
  <si>
    <t>Belonging, curiosity, motivation, pride</t>
  </si>
  <si>
    <t>Breakfast</t>
  </si>
  <si>
    <t>Night Pre-Meeting – The War Room</t>
  </si>
  <si>
    <t>1 hour</t>
  </si>
  <si>
    <t>Alignment</t>
  </si>
  <si>
    <t>Prepare delegates for the conference by clarifying expectations, logistics, key information, and participation requirements.</t>
  </si>
  <si>
    <t>Anticipation, excitement, focus, readiness</t>
  </si>
  <si>
    <t>Meet the Chair – Meet the Nick Fury</t>
  </si>
  <si>
    <t>Other</t>
  </si>
  <si>
    <t>Create a connection between delegates and the Chair while communicating the conference vision, leadership expectations, and organizational direction.</t>
  </si>
  <si>
    <t>Connection, trust, inspiration, respect</t>
  </si>
  <si>
    <t>D1</t>
  </si>
  <si>
    <t>Opening – Avengers, Assemble!</t>
  </si>
  <si>
    <t>chair</t>
  </si>
  <si>
    <t>Officially launch the conference by establishing its purpose, objectives, expectations, culture, and shared vision.</t>
  </si>
  <si>
    <t>Excitement, energy, belonging, pride</t>
  </si>
  <si>
    <t>AIESEC 101 – The Avengers Initiative</t>
  </si>
  <si>
    <t>wadii</t>
  </si>
  <si>
    <t>Ensure delegates understand AIESEC’s purpose, structure, identity, leadership model, and how their role contributes to the organization.</t>
  </si>
  <si>
    <t>Curiosity, discovery, connection, pride</t>
  </si>
  <si>
    <t>Essence</t>
  </si>
  <si>
    <t>Lead</t>
  </si>
  <si>
    <t>Develop delegates’ understanding of effective leadership, focusing on responsibility, influence, self-awareness, decision-making, and impact.</t>
  </si>
  <si>
    <t>Empowerment, self-awareness, responsibility, inspiration</t>
  </si>
  <si>
    <t>What Is Not a Team? – Not Every Hero Is an Avenger</t>
  </si>
  <si>
    <t>Soukaina</t>
  </si>
  <si>
    <t>Enable delegates to distinguish between a group and a high-performing team and identify the elements required for effective teamwork.</t>
  </si>
  <si>
    <t>Reflection, realization, vulnerability, connection</t>
  </si>
  <si>
    <t>Evening Plenary – The Battle Debrief</t>
  </si>
  <si>
    <t xml:space="preserve">Objectives per day </t>
  </si>
  <si>
    <t>Allow delegates to reflect on the day, identify key learnings and challenges, and connect their experiences to their personal and team development.</t>
  </si>
  <si>
    <t>Competences pour l'avenir (Routines)</t>
  </si>
  <si>
    <t>Reflection, honesty, gratitude, connection</t>
  </si>
  <si>
    <t>D2</t>
  </si>
  <si>
    <t>Morning Plenary – Rise of the Avengers</t>
  </si>
  <si>
    <t>Reconnect delegates with the conference purpose, communicate the day’s priorities, and motivate them to actively participate.</t>
  </si>
  <si>
    <t>Energy, motivation, optimism, readiness</t>
  </si>
  <si>
    <t>Coach Session – The Ancient One</t>
  </si>
  <si>
    <t>iman</t>
  </si>
  <si>
    <t>Day 0</t>
  </si>
  <si>
    <t>Connect the LC with the MC by creating alignment around the national vision, priorities, and direction, ensuring delegates understand how their LC objectives and actions contribute to the broader AIESEC Morocco vision.</t>
  </si>
  <si>
    <t>Alignment, connection, trust, inspiration</t>
  </si>
  <si>
    <t>Functional Spaces – The Avengers Tower</t>
  </si>
  <si>
    <t>-Pre-Meeting 
-Getting to know FACIs
-Prepration for the conference</t>
  </si>
  <si>
    <t>Histoires d'impact</t>
  </si>
  <si>
    <t>LCVPs</t>
  </si>
  <si>
    <t>1hr 15 mins</t>
  </si>
  <si>
    <t>Enable delegates to understand AIESEC functions, their responsibilities, and how each function contributes to overall organizational performance.</t>
  </si>
  <si>
    <t>Curiosity, clarity, appreciation, belonging</t>
  </si>
  <si>
    <t>Le parcours AIESEC</t>
  </si>
  <si>
    <t>Synergy – The Battle Formation</t>
  </si>
  <si>
    <t>Morning Plenary</t>
  </si>
  <si>
    <t>simulation</t>
  </si>
  <si>
    <t>Demonstrate the importance of cross-functional collaboration and help delegates understand how functions depend on one another to achieve results.</t>
  </si>
  <si>
    <t>Connection, cooperation, trust, collective motivation</t>
  </si>
  <si>
    <t>Alumni Panel</t>
  </si>
  <si>
    <t>CIVIL WAR</t>
  </si>
  <si>
    <t>QnA space</t>
  </si>
  <si>
    <t>The power of the Pitch</t>
  </si>
  <si>
    <t>VPs</t>
  </si>
  <si>
    <t>- Conference Opening
- AIESEC 101
- pillars of losing trust 
- Essence of AIESEC
- What is not a team
- Evening
- party.</t>
  </si>
  <si>
    <t>Local'Co Registration</t>
  </si>
  <si>
    <t>History of AIESEC – The Avengers Legacy</t>
  </si>
  <si>
    <r>
      <rPr>
        <rFont val="Montserrat"/>
        <b/>
        <color theme="1"/>
        <sz val="9.0"/>
      </rPr>
      <t>Focus:</t>
    </r>
    <r>
      <rPr>
        <rFont val="Montserrat"/>
        <color theme="1"/>
        <sz val="9.0"/>
      </rPr>
      <t xml:space="preserve"> Understand the Power of Unity
</t>
    </r>
    <r>
      <rPr>
        <rFont val="Montserrat"/>
        <b/>
        <color theme="1"/>
        <sz val="9.0"/>
      </rPr>
      <t>Objective:</t>
    </r>
    <r>
      <rPr>
        <rFont val="Montserrat"/>
        <color theme="1"/>
        <sz val="9.0"/>
      </rPr>
      <t xml:space="preserve"> Recognize what makes a team strong or divided
</t>
    </r>
    <r>
      <rPr>
        <rFont val="Montserrat"/>
        <b/>
        <color theme="1"/>
        <sz val="9.0"/>
      </rPr>
      <t>Description:</t>
    </r>
    <r>
      <rPr>
        <rFont val="Montserrat"/>
        <color theme="1"/>
        <sz val="9.0"/>
      </rPr>
      <t xml:space="preserve"> Explore how communication, trust, leadership and alignment shape a team. Use the Avengers story and LC reality as context to understand the consequences of division, without focusing on blame or past failures.</t>
    </r>
  </si>
  <si>
    <t>Develop delegates’ ability to communicate ideas clearly, confidently, and persuasively while adapting their message to their audience.</t>
  </si>
  <si>
    <t>Break</t>
  </si>
  <si>
    <t>Clôture</t>
  </si>
  <si>
    <t>Courage, confidence, challenge, accomplishment</t>
  </si>
  <si>
    <t>Types of Cultures – The Multiverse</t>
  </si>
  <si>
    <t>oussama</t>
  </si>
  <si>
    <t>INFINITY WAR</t>
  </si>
  <si>
    <t>Enable delegates to identify different organizational cultures, understand their impact on behavior and performance, and assess their own LC culture.</t>
  </si>
  <si>
    <t>Curiosity, awareness, reflection, responsibility</t>
  </si>
  <si>
    <t>Hackathon – Stark Industries: Innovation Lab</t>
  </si>
  <si>
    <t>Enable delegates to identify a real organizational problem, analyze its causes, develop an innovative solution, and present a feasible implementation plan.</t>
  </si>
  <si>
    <t>- Morning 
- Coach session 
- Funcional Spaces 
- Synergies 
- Types of Culture 
- Hackathon 
- Evening
- Gala Night</t>
  </si>
  <si>
    <t>Creativity, excitement, competition, ownership</t>
  </si>
  <si>
    <t>Evening Plenary – The Sokovia Accords</t>
  </si>
  <si>
    <t>Develop delegates’ ability to reflect on decision-making, responsibility, disagreement, and the consequences of individual versus collective choices.</t>
  </si>
  <si>
    <t>Reflection, tension, critical thinking, maturity</t>
  </si>
  <si>
    <t>D3</t>
  </si>
  <si>
    <t>Morning Plenary – The Final Battle</t>
  </si>
  <si>
    <t>Transform the conference’s key learnings into concrete actions and prepare delegates to apply them within their LC after the conference.</t>
  </si>
  <si>
    <t>Determination, ambition, confidence, readiness</t>
  </si>
  <si>
    <r>
      <rPr>
        <rFont val="Montserrat"/>
        <b/>
        <color theme="1"/>
        <sz val="9.0"/>
      </rPr>
      <t>Focus:</t>
    </r>
    <r>
      <rPr>
        <rFont val="Montserrat"/>
        <color theme="1"/>
        <sz val="9.0"/>
      </rPr>
      <t xml:space="preserve"> Discover Your Power inside the unity
</t>
    </r>
    <r>
      <rPr>
        <rFont val="Montserrat"/>
        <b/>
        <color theme="1"/>
        <sz val="9.0"/>
      </rPr>
      <t xml:space="preserve">Objective: </t>
    </r>
    <r>
      <rPr>
        <rFont val="Montserrat"/>
        <color theme="1"/>
        <sz val="9.0"/>
      </rPr>
      <t xml:space="preserve">Build individual and collective capacity 
</t>
    </r>
    <r>
      <rPr>
        <rFont val="Montserrat"/>
        <b/>
        <color theme="1"/>
        <sz val="9.0"/>
      </rPr>
      <t>Description:</t>
    </r>
    <r>
      <rPr>
        <rFont val="Montserrat"/>
        <color theme="1"/>
        <sz val="9.0"/>
      </rPr>
      <t xml:space="preserve"> Just as every Avenger brings a different power to the battlefield, every new member brings different talents, perspectives and potential. Participants discover their role, develop essential leadership and functional skills, and experience how different functions work together. The goal is to transform a group of new recruits into a team that understands its power and knows how to use it together.</t>
    </r>
  </si>
  <si>
    <t>Help delegates understand AIESEC’s history, evolution, milestones, and legacy and connect their current contribution to the organization’s broader purpose.</t>
  </si>
  <si>
    <t>Pride, belonging, inspiration, responsibility</t>
  </si>
  <si>
    <t>Emotional Intelligence – The BLACK WIDOW Protocol</t>
  </si>
  <si>
    <t>Emotional Intelligence – Black widow Protocol</t>
  </si>
  <si>
    <t>Develop delegates’ ability to recognize and regulate their emotions, understand others, and use emotional awareness to improve communication and leadership.</t>
  </si>
  <si>
    <t>Self-awareness, empathy, vulnerability, understanding</t>
  </si>
  <si>
    <t>the hierarchy</t>
  </si>
  <si>
    <t>ENDGAME</t>
  </si>
  <si>
    <t>- Morning 
- History
- Emotional Intellegence 
- Resilience 
- Find your own purpose
- Conferencce Closing</t>
  </si>
  <si>
    <t>Ensure delegates understand organizational hierarchy, authority, accountability, reporting lines, and the distinction between hierarchy and leadership.</t>
  </si>
  <si>
    <t>Clarity, awareness, responsibility, maturity</t>
  </si>
  <si>
    <t xml:space="preserve">indivudal spaces –with great responsibilities come great power </t>
  </si>
  <si>
    <t>Enable delegates to critically reflect on their experience, identify areas for personal growth, and define concrete individual commitments.</t>
  </si>
  <si>
    <t>Introspection, vulnerability, empowerment, determination</t>
  </si>
  <si>
    <t>Closing – The Endgame</t>
  </si>
  <si>
    <r>
      <rPr>
        <rFont val="Montserrat"/>
        <b/>
        <color theme="1"/>
        <sz val="9.0"/>
      </rPr>
      <t>Focus:</t>
    </r>
    <r>
      <rPr>
        <rFont val="Montserrat"/>
        <color theme="1"/>
        <sz val="9.0"/>
      </rPr>
      <t xml:space="preserve"> Choose Your contribute to the Unity
</t>
    </r>
    <r>
      <rPr>
        <rFont val="Montserrat"/>
        <b/>
        <color theme="1"/>
        <sz val="9.0"/>
      </rPr>
      <t xml:space="preserve">Objective: </t>
    </r>
    <r>
      <rPr>
        <rFont val="Montserrat"/>
        <color theme="1"/>
        <sz val="9.0"/>
      </rPr>
      <t xml:space="preserve">Become part of the next generation
</t>
    </r>
    <r>
      <rPr>
        <rFont val="Montserrat"/>
        <b/>
        <color theme="1"/>
        <sz val="9.0"/>
      </rPr>
      <t xml:space="preserve">Description: </t>
    </r>
    <r>
      <rPr>
        <rFont val="Montserrat"/>
        <color theme="1"/>
        <sz val="9.0"/>
      </rPr>
      <t>This is not the end of someone else's story — it is the beginning of theirs. Participants reflect on what they discovered, the people they met and the kind of member and leader they want to become. They are given the opportunity to make their first commitment to AIESEC Rabat and to the people who will come after them. They are not here to repair the old Avengers; they are the new Avengers who will write the next chapter.</t>
    </r>
  </si>
  <si>
    <t>Consolidate the conference’s key learnings, reinforce the delegates’ sense of purpose and belonging, and translate the experience into concrete future commitments.</t>
  </si>
  <si>
    <t>Pride, gratitude, inspiration, belonging, determination</t>
  </si>
  <si>
    <t xml:space="preserve">Individual Spaces –with great responsibilities come great power </t>
  </si>
  <si>
    <t>DAY 0</t>
  </si>
  <si>
    <t>The power of the pitch</t>
  </si>
  <si>
    <t xml:space="preserve">Internal Objectives </t>
  </si>
  <si>
    <t>Unity &amp; Connection
Leadership Development
Functional Capacity
Cross-Functional Collaboration
Member Engagement
Ownership &amp; Accountability
Succession &amp; Legacy
LC Alignment
Action &amp; Commitment</t>
  </si>
  <si>
    <t xml:space="preserve">Opening – Avengers, Assemble </t>
  </si>
  <si>
    <t>conference team</t>
  </si>
  <si>
    <t xml:space="preserve">lunch </t>
  </si>
  <si>
    <t>Lunch</t>
  </si>
  <si>
    <t>Closing Plenary</t>
  </si>
  <si>
    <t>ESSENCE</t>
  </si>
  <si>
    <t xml:space="preserve">Break </t>
  </si>
  <si>
    <t>Resilience – The Phoenix Protocol</t>
  </si>
  <si>
    <t xml:space="preserve">Dinner </t>
  </si>
  <si>
    <t>| Session Outline Template ✨</t>
  </si>
  <si>
    <t>Session Name</t>
  </si>
  <si>
    <t xml:space="preserve">Evening Plenary </t>
  </si>
  <si>
    <t>Faci name</t>
  </si>
  <si>
    <t>Party D1 :XXXX</t>
  </si>
  <si>
    <t>Session Objectives</t>
  </si>
  <si>
    <t>Evening Plenary</t>
  </si>
  <si>
    <t xml:space="preserve">Session Overview	</t>
  </si>
  <si>
    <t>Gala Preparation</t>
  </si>
  <si>
    <t>Previous session Name</t>
  </si>
  <si>
    <t>Next session Name</t>
  </si>
  <si>
    <t>Duration</t>
  </si>
  <si>
    <t>Gala Night (LCP 27.28 annoncement )</t>
  </si>
  <si>
    <t>Section</t>
  </si>
  <si>
    <t>Key Message</t>
  </si>
  <si>
    <t>Content</t>
  </si>
  <si>
    <t>Material needed</t>
  </si>
  <si>
    <t>Party D2 : XXXX</t>
  </si>
  <si>
    <t xml:space="preserve"> Synergy – The Battle Formation</t>
  </si>
  <si>
    <t xml:space="preserve"> Soukaina</t>
  </si>
  <si>
    <t>Wow Effect of the session</t>
  </si>
  <si>
    <t>Pillar to Lost Trust – The Broken Shield</t>
  </si>
  <si>
    <t>How I will link it with the previous sessions?</t>
  </si>
  <si>
    <t>Lead Session – The Captain's Shield</t>
  </si>
  <si>
    <t xml:space="preserve"> What Is Not a Team? – Not Every Hero Is an Avenger</t>
  </si>
  <si>
    <t>| Session Outline ✨</t>
  </si>
  <si>
    <t>Functional Space - The Avengers Tower [oGT]</t>
  </si>
  <si>
    <t>Oussama</t>
  </si>
  <si>
    <t>[iGV] The power of the Pitch | [MoGX] Synergy – The Battle Formation</t>
  </si>
  <si>
    <t>Hackathon</t>
  </si>
  <si>
    <t>The Call to Assemble</t>
  </si>
  <si>
    <t>Every hero needs to understand the mission before taking action</t>
  </si>
  <si>
    <t>Introduce the Avengers Tower scenario and challenge delegates to imagine helping a young Moroccan access an international opportunity. Collect their ideas about what needs to happen to turn this ambition into reality</t>
  </si>
  <si>
    <t>What is a culture</t>
  </si>
  <si>
    <t>Discover Your Powers</t>
  </si>
  <si>
    <t>oGTa and oGTe create opportunities for people to develop through international professional and teaching experiences</t>
  </si>
  <si>
    <t>Culture is the unwritten rules that shape how people behave</t>
  </si>
  <si>
    <t>Through two fictional candidate profiles, delegates discover the difference between oGTa/e, identify their target beneficiaries, and explore the value the department create</t>
  </si>
  <si>
    <t>Give delegates different secret behavioral rules. Let them interact and experience confusion. Debrief: What felt strange? What rules were you following? Introduce the definition of culture.</t>
  </si>
  <si>
    <t>Inside the Mission Pipeline</t>
  </si>
  <si>
    <t>Secret instruction cards, timer</t>
  </si>
  <si>
    <t>Every stage of the journey contributes to delivering a successful experience</t>
  </si>
  <si>
    <t>Why Culture Matters</t>
  </si>
  <si>
    <t>Culture shapes behavior, performance, belonging, and accountability</t>
  </si>
  <si>
    <t>Present two fictional LCs: one with a perfect strategy but poor culture, another with an average strategy but strong ownership. Ask delegates which one is more likely to succeed and why</t>
  </si>
  <si>
    <t>The Multiverse</t>
  </si>
  <si>
    <t>Different cultures prioritize different values and ways of working</t>
  </si>
  <si>
    <t>Introduce Clan (Collaborate), Adhocracy (Create), Market (Compete), and Hierarchy (Control). Use four corners of the room, each representing one culture. Delegates explore the characteristics and trade-offs of each</t>
  </si>
  <si>
    <t>Same Challenge, Different Universes</t>
  </si>
  <si>
    <t>The same challenge can produce different experiences and results depending on culture</t>
  </si>
  <si>
    <t>Divide delegates into teams. Give each team playing cards and a secret rule representing a different culture. Allow 5 minutes to build the tallest freestanding card tower, then compare results and debrief how the rules affected collaboration, creativity, decision-making, and performance.</t>
  </si>
  <si>
    <t>Existing playing cards; secret rule slips</t>
  </si>
  <si>
    <t>The Culture We Want to Create</t>
  </si>
  <si>
    <t>Culture is built through the behaviors we choose to practice and reinforce</t>
  </si>
  <si>
    <t>Ask delegates what they want people to feel when they work with them, and which behaviors would create that experience. Have them write one behavior they want to bring into their teams.</t>
  </si>
  <si>
    <t>Flipchart &amp; pens</t>
  </si>
  <si>
    <t>Choose Your Universe</t>
  </si>
  <si>
    <t>The Hackathon is our first battlefield to turn the culture we want into the way we work</t>
  </si>
  <si>
    <t>Challenge delegates to see the Hackathon as their first opportunity to put their chosen culture into action. Just like the Avengers, every member brings different strengths, but success depends on how they collaborate, take ownership, innovate, and execute together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</si>
</sst>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quot;:&quot;mm&quot; &quot;am/pm"/>
    <numFmt numFmtId="165" formatCode="mmmm d"/>
  </numFmts>
  <fonts count="62">
    <font>
      <sz val="10.0"/>
      <color rgb="FF000000"/>
      <name val="Arial"/>
      <scheme val="minor"/>
    </font>
    <font>
      <color theme="1"/>
      <name val="Montserrat"/>
    </font>
    <font>
      <b/>
      <sz val="12.0"/>
      <color rgb="FF38BDF8"/>
      <name val="Montserrat"/>
    </font>
    <font>
      <b/>
      <sz val="10.0"/>
      <color rgb="FFFFFFFF"/>
      <name val="Montserrat"/>
    </font>
    <font/>
    <font>
      <color theme="1"/>
      <name val="Arial"/>
    </font>
    <font>
      <b/>
      <sz val="12.0"/>
      <color rgb="FFFFFFFF"/>
      <name val="Montserrat"/>
    </font>
    <font>
      <b/>
      <sz val="8.0"/>
      <color rgb="FFF5D5E0"/>
      <name val="Montserrat"/>
    </font>
    <font>
      <b/>
      <sz val="8.0"/>
      <color rgb="FF000000"/>
      <name val="Montserrat"/>
    </font>
    <font>
      <b/>
      <sz val="11.0"/>
      <color rgb="FF430D4B"/>
      <name val="Montserrat"/>
    </font>
    <font>
      <b/>
      <u/>
      <sz val="12.0"/>
      <color rgb="FF0000FF"/>
      <name val="Arial"/>
    </font>
    <font>
      <b/>
      <sz val="11.0"/>
      <color rgb="FFFFFFFF"/>
      <name val="Arial"/>
    </font>
    <font>
      <b/>
      <sz val="12.0"/>
      <color theme="1"/>
      <name val="Arial"/>
    </font>
    <font>
      <color rgb="FFFFFFFF"/>
      <name val="Montserrat"/>
    </font>
    <font>
      <b/>
      <sz val="9.0"/>
      <color rgb="FF430D4B"/>
      <name val="Montserrat"/>
    </font>
    <font>
      <b/>
      <sz val="10.0"/>
      <color rgb="FFFFFFFF"/>
      <name val="Arial"/>
    </font>
    <font>
      <b/>
      <sz val="10.0"/>
      <color rgb="FFF8FAFC"/>
      <name val="Arial"/>
    </font>
    <font>
      <b/>
      <sz val="11.0"/>
      <color rgb="FFFFFFFF"/>
      <name val="Montserrat"/>
    </font>
    <font>
      <sz val="11.0"/>
      <color rgb="FFF3F3F3"/>
      <name val="Montserrat"/>
    </font>
    <font>
      <b/>
      <sz val="11.0"/>
      <color theme="1"/>
      <name val="Montserrat"/>
    </font>
    <font>
      <b/>
      <sz val="9.0"/>
      <color rgb="FFF8FAFC"/>
      <name val="Arial"/>
    </font>
    <font>
      <sz val="11.0"/>
      <color theme="1"/>
      <name val="Montserrat"/>
    </font>
    <font>
      <b/>
      <sz val="10.0"/>
      <color rgb="FF000000"/>
      <name val="Montserrat"/>
    </font>
    <font>
      <b/>
      <color rgb="FF990000"/>
      <name val="Montserrat"/>
    </font>
    <font>
      <b/>
      <sz val="9.0"/>
      <color rgb="FFF8FAFC"/>
      <name val="Montserrat"/>
    </font>
    <font>
      <b/>
      <color rgb="FF000000"/>
      <name val="Montserrat"/>
    </font>
    <font>
      <sz val="9.0"/>
      <color theme="1"/>
      <name val="Montserrat"/>
    </font>
    <font>
      <b/>
      <sz val="22.0"/>
      <color rgb="FFB91C1C"/>
      <name val="Impact"/>
    </font>
    <font>
      <sz val="9.0"/>
      <color rgb="FF0F172A"/>
      <name val="Consolas"/>
    </font>
    <font>
      <sz val="10.0"/>
      <color rgb="FFF8FAFC"/>
      <name val="Arial"/>
    </font>
    <font>
      <b/>
      <sz val="26.0"/>
      <color rgb="FF000000"/>
      <name val="Montserrat"/>
    </font>
    <font>
      <b/>
      <sz val="26.0"/>
      <color rgb="FFFFFFFF"/>
      <name val="Montserrat"/>
    </font>
    <font>
      <sz val="9.0"/>
      <color rgb="FF430D4B"/>
      <name val="Montserrat"/>
    </font>
    <font>
      <b/>
      <sz val="9.0"/>
      <color rgb="FF0F172A"/>
      <name val="Consolas"/>
    </font>
    <font>
      <sz val="8.0"/>
      <color rgb="FF430D4B"/>
      <name val="Montserrat"/>
    </font>
    <font>
      <b/>
      <sz val="9.0"/>
      <color rgb="FFFFFFFF"/>
      <name val="Montserrat"/>
    </font>
    <font>
      <b/>
      <sz val="9.0"/>
      <color rgb="FF7F6000"/>
      <name val="Montserrat"/>
    </font>
    <font>
      <b/>
      <sz val="9.0"/>
      <color rgb="FFB91C1C"/>
      <name val="Montserrat"/>
    </font>
    <font>
      <b/>
      <sz val="15.0"/>
      <color theme="1"/>
      <name val="Montserrat"/>
    </font>
    <font>
      <b/>
      <u/>
      <color rgb="FFFFFFFF"/>
      <name val="Montserrat"/>
    </font>
    <font>
      <b/>
      <sz val="9.0"/>
      <color rgb="FF6D28D9"/>
      <name val="Montserrat"/>
    </font>
    <font>
      <b/>
      <sz val="22.0"/>
      <color rgb="FFFFFFFF"/>
      <name val="Montserrat"/>
    </font>
    <font>
      <b/>
      <sz val="9.0"/>
      <color rgb="FFD97706"/>
      <name val="Montserrat"/>
    </font>
    <font>
      <b/>
      <color rgb="FFFFFFFF"/>
      <name val="Montserrat"/>
    </font>
    <font>
      <b/>
      <sz val="21.0"/>
      <color theme="1"/>
      <name val="Montserrat"/>
    </font>
    <font>
      <b/>
      <sz val="8.0"/>
      <color rgb="FF430D4B"/>
      <name val="Montserrat"/>
    </font>
    <font>
      <sz val="8.0"/>
      <color rgb="FF000000"/>
      <name val="Montserrat"/>
    </font>
    <font>
      <b/>
      <sz val="20.0"/>
      <color rgb="FFFFFFFF"/>
      <name val="Montserrat"/>
    </font>
    <font>
      <color theme="1"/>
      <name val="Arial"/>
      <scheme val="minor"/>
    </font>
    <font>
      <b/>
      <color rgb="FFFFFFFF"/>
      <name val="Lato"/>
    </font>
    <font>
      <color theme="1"/>
      <name val="Lato"/>
    </font>
    <font>
      <b/>
      <sz val="20.0"/>
      <color rgb="FF4285F4"/>
      <name val="Lato"/>
    </font>
    <font>
      <b/>
      <sz val="18.0"/>
      <color rgb="FFFFFFFF"/>
      <name val="Montserrat"/>
    </font>
    <font>
      <b/>
      <sz val="24.0"/>
      <color rgb="FF000000"/>
      <name val="Montserrat"/>
    </font>
    <font>
      <color rgb="FF434343"/>
      <name val="Lato"/>
    </font>
    <font>
      <b/>
      <color rgb="FFFFFFFF"/>
      <name val="Arial"/>
    </font>
    <font>
      <b/>
      <i/>
      <color rgb="FF434343"/>
      <name val="Arial"/>
    </font>
    <font>
      <color rgb="FF434343"/>
      <name val="Arial"/>
    </font>
    <font>
      <i/>
      <color rgb="FF434343"/>
      <name val="Arial"/>
    </font>
    <font>
      <b/>
      <color theme="1"/>
      <name val="Arial"/>
    </font>
    <font>
      <b/>
      <sz val="20.0"/>
      <color rgb="FF000000"/>
      <name val="Montserrat"/>
    </font>
    <font>
      <b/>
      <sz val="12.0"/>
      <color theme="1"/>
      <name val="Montserrat"/>
    </font>
  </fonts>
  <fills count="35">
    <fill>
      <patternFill patternType="none"/>
    </fill>
    <fill>
      <patternFill patternType="lightGray"/>
    </fill>
    <fill>
      <patternFill patternType="solid">
        <fgColor rgb="FF1E293B"/>
        <bgColor rgb="FF1E293B"/>
      </patternFill>
    </fill>
    <fill>
      <patternFill patternType="solid">
        <fgColor rgb="FF7F1D1D"/>
        <bgColor rgb="FF7F1D1D"/>
      </patternFill>
    </fill>
    <fill>
      <patternFill patternType="solid">
        <fgColor rgb="FF1D4ED8"/>
        <bgColor rgb="FF1D4ED8"/>
      </patternFill>
    </fill>
    <fill>
      <patternFill patternType="solid">
        <fgColor theme="0"/>
        <bgColor theme="0"/>
      </patternFill>
    </fill>
    <fill>
      <patternFill patternType="solid">
        <fgColor rgb="FF0F172A"/>
        <bgColor rgb="FF0F172A"/>
      </patternFill>
    </fill>
    <fill>
      <patternFill patternType="solid">
        <fgColor rgb="FFEFF6FF"/>
        <bgColor rgb="FFEFF6FF"/>
      </patternFill>
    </fill>
    <fill>
      <patternFill patternType="solid">
        <fgColor rgb="FFFFFFFF"/>
        <bgColor rgb="FFFFFFFF"/>
      </patternFill>
    </fill>
    <fill>
      <patternFill patternType="solid">
        <fgColor rgb="FFB91C1C"/>
        <bgColor rgb="FFB91C1C"/>
      </patternFill>
    </fill>
    <fill>
      <patternFill patternType="solid">
        <fgColor rgb="FF6D28D9"/>
        <bgColor rgb="FF6D28D9"/>
      </patternFill>
    </fill>
    <fill>
      <patternFill patternType="solid">
        <fgColor rgb="FFF8FAFC"/>
        <bgColor rgb="FFF8FAFC"/>
      </patternFill>
    </fill>
    <fill>
      <patternFill patternType="solid">
        <fgColor rgb="FFD97706"/>
        <bgColor rgb="FFD97706"/>
      </patternFill>
    </fill>
    <fill>
      <patternFill patternType="solid">
        <fgColor rgb="FF334155"/>
        <bgColor rgb="FF334155"/>
      </patternFill>
    </fill>
    <fill>
      <patternFill patternType="solid">
        <fgColor rgb="FFCCCCCC"/>
        <bgColor rgb="FFCCCCCC"/>
      </patternFill>
    </fill>
    <fill>
      <patternFill patternType="solid">
        <fgColor rgb="FF7F6000"/>
        <bgColor rgb="FF7F6000"/>
      </patternFill>
    </fill>
    <fill>
      <patternFill patternType="solid">
        <fgColor theme="6"/>
        <bgColor theme="6"/>
      </patternFill>
    </fill>
    <fill>
      <patternFill patternType="solid">
        <fgColor rgb="FFFFE599"/>
        <bgColor rgb="FFFFE599"/>
      </patternFill>
    </fill>
    <fill>
      <patternFill patternType="solid">
        <fgColor rgb="FFFEE2E2"/>
        <bgColor rgb="FFFEE2E2"/>
      </patternFill>
    </fill>
    <fill>
      <patternFill patternType="solid">
        <fgColor rgb="FFCACCD1"/>
        <bgColor rgb="FFCACCD1"/>
      </patternFill>
    </fill>
    <fill>
      <patternFill patternType="solid">
        <fgColor rgb="FF434343"/>
        <bgColor rgb="FF434343"/>
      </patternFill>
    </fill>
    <fill>
      <patternFill patternType="solid">
        <fgColor rgb="FFF3E8FF"/>
        <bgColor rgb="FFF3E8FF"/>
      </patternFill>
    </fill>
    <fill>
      <patternFill patternType="solid">
        <fgColor rgb="FFF1C232"/>
        <bgColor rgb="FFF1C232"/>
      </patternFill>
    </fill>
    <fill>
      <patternFill patternType="solid">
        <fgColor rgb="FFFFD966"/>
        <bgColor rgb="FFFFD966"/>
      </patternFill>
    </fill>
    <fill>
      <patternFill patternType="solid">
        <fgColor rgb="FFFEF3C7"/>
        <bgColor rgb="FFFEF3C7"/>
      </patternFill>
    </fill>
    <fill>
      <patternFill patternType="solid">
        <fgColor rgb="FF6AA84F"/>
        <bgColor rgb="FF6AA84F"/>
      </patternFill>
    </fill>
    <fill>
      <patternFill patternType="solid">
        <fgColor rgb="FFFDD245"/>
        <bgColor rgb="FFFDD245"/>
      </patternFill>
    </fill>
    <fill>
      <patternFill patternType="solid">
        <fgColor rgb="FFF7F9FC"/>
        <bgColor rgb="FFF7F9FC"/>
      </patternFill>
    </fill>
    <fill>
      <patternFill patternType="solid">
        <fgColor rgb="FFBF9000"/>
        <bgColor rgb="FFBF9000"/>
      </patternFill>
    </fill>
    <fill>
      <patternFill patternType="solid">
        <fgColor rgb="FF5AACCF"/>
        <bgColor rgb="FF5AACCF"/>
      </patternFill>
    </fill>
    <fill>
      <patternFill patternType="solid">
        <fgColor rgb="FFFFF2CC"/>
        <bgColor rgb="FFFFF2CC"/>
      </patternFill>
    </fill>
    <fill>
      <patternFill patternType="solid">
        <fgColor rgb="FF99DDFB"/>
        <bgColor rgb="FF99DDFB"/>
      </patternFill>
    </fill>
    <fill>
      <patternFill patternType="solid">
        <fgColor rgb="FF999999"/>
        <bgColor rgb="FF999999"/>
      </patternFill>
    </fill>
    <fill>
      <patternFill patternType="solid">
        <fgColor rgb="FFD9D9D9"/>
        <bgColor rgb="FFD9D9D9"/>
      </patternFill>
    </fill>
    <fill>
      <patternFill patternType="solid">
        <fgColor rgb="FF80C271"/>
        <bgColor rgb="FF80C271"/>
      </patternFill>
    </fill>
  </fills>
  <borders count="106">
    <border/>
    <border>
      <left/>
      <top/>
      <bottom/>
    </border>
    <border>
      <left style="thin">
        <color rgb="FFFFFFFF"/>
      </left>
      <right style="thin">
        <color rgb="FFFFFFFF"/>
      </right>
      <top style="thin">
        <color rgb="FFFFFFFF"/>
      </top>
    </border>
    <border>
      <left style="thin">
        <color rgb="FFFFFFFF"/>
      </left>
      <right style="thin">
        <color rgb="FFFFFFFF"/>
      </right>
      <top style="thin">
        <color rgb="FFFFFFFF"/>
      </top>
      <bottom style="thin">
        <color rgb="FFFFFFFF"/>
      </bottom>
    </border>
    <border>
      <right/>
      <top/>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top style="thick">
        <color rgb="FF000000"/>
      </top>
    </border>
    <border>
      <left style="thin">
        <color rgb="FFFFFFFF"/>
      </left>
      <top style="thin">
        <color rgb="FFFFFFFF"/>
      </top>
      <bottom style="thin">
        <color rgb="FFFFFFFF"/>
      </bottom>
    </border>
    <border>
      <left style="thick">
        <color rgb="FF000000"/>
      </left>
      <bottom style="thick">
        <color rgb="FF000000"/>
      </bottom>
    </border>
    <border>
      <bottom style="thick">
        <color rgb="FF000000"/>
      </bottom>
    </border>
    <border>
      <right style="thick">
        <color rgb="FF000000"/>
      </right>
      <bottom style="thick">
        <color rgb="FF000000"/>
      </bottom>
    </border>
    <border>
      <top/>
      <bottom/>
    </border>
    <border>
      <left style="thick">
        <color rgb="FF000000"/>
      </left>
      <right style="thick">
        <color rgb="FF000000"/>
      </right>
      <bottom style="thick">
        <color rgb="FF000000"/>
      </bottom>
    </border>
    <border>
      <left style="thin">
        <color rgb="FFFFFFFF"/>
      </left>
      <top style="thin">
        <color rgb="FFFFFFFF"/>
      </top>
    </border>
    <border>
      <left/>
      <right/>
      <top/>
      <bottom/>
    </border>
    <border>
      <left style="thick">
        <color rgb="FF000000"/>
      </left>
      <right style="thin">
        <color rgb="FFFFFFFF"/>
      </right>
      <top style="thick">
        <color rgb="FF000000"/>
      </top>
      <bottom style="thin">
        <color rgb="FFFFFFFF"/>
      </bottom>
    </border>
    <border>
      <right style="thin">
        <color rgb="FFFFFFFF"/>
      </right>
      <top style="thin">
        <color rgb="FFFFFFFF"/>
      </top>
    </border>
    <border>
      <right style="thin">
        <color rgb="FFE2E8F0"/>
      </right>
      <bottom style="thin">
        <color rgb="FFE2E8F0"/>
      </bottom>
    </border>
    <border>
      <left style="thin">
        <color rgb="FFFFFFFF"/>
      </left>
      <right style="thin">
        <color rgb="FFFFFFFF"/>
      </right>
      <top style="thin">
        <color rgb="FFFFFFFF"/>
      </top>
      <bottom style="medium">
        <color rgb="FF6D28D9"/>
      </bottom>
    </border>
    <border>
      <left style="thin">
        <color rgb="FFE2E8F0"/>
      </left>
      <top style="thin">
        <color rgb="FFE2E8F0"/>
      </top>
    </border>
    <border>
      <top style="thin">
        <color rgb="FFE2E8F0"/>
      </top>
    </border>
    <border>
      <top style="thin">
        <color rgb="FFFFFFFF"/>
      </top>
      <bottom style="thin">
        <color rgb="FFFFFFFF"/>
      </bottom>
    </border>
    <border>
      <left style="thin">
        <color rgb="FFFFFFFF"/>
      </left>
      <right style="thin">
        <color rgb="FFFFFFFF"/>
      </right>
      <top style="thick">
        <color rgb="FF000000"/>
      </top>
      <bottom style="thin">
        <color rgb="FFFFFFFF"/>
      </bottom>
    </border>
    <border>
      <left style="thin">
        <color rgb="FFFFFFFF"/>
      </left>
      <right style="thin">
        <color rgb="FFFFFFFF"/>
      </right>
      <top style="thick">
        <color rgb="FFFFFFFF"/>
      </top>
      <bottom style="thin">
        <color rgb="FFFFFFFF"/>
      </bottom>
    </border>
    <border>
      <right style="thin">
        <color rgb="FFFFFFFF"/>
      </right>
      <top style="thin">
        <color rgb="FFFFFFFF"/>
      </top>
      <bottom style="thin">
        <color rgb="FFFFFFFF"/>
      </bottom>
    </border>
    <border>
      <right style="thin">
        <color rgb="FFE2E8F0"/>
      </right>
      <top style="thin">
        <color rgb="FFE2E8F0"/>
      </top>
    </border>
    <border>
      <left style="thin">
        <color rgb="FFFFFFFF"/>
      </left>
      <right style="thin">
        <color rgb="FFFFFFFF"/>
      </right>
      <top/>
      <bottom style="thin">
        <color rgb="FFFFFFFF"/>
      </bottom>
    </border>
    <border>
      <right style="thin">
        <color rgb="FFE2E8F0"/>
      </right>
      <top style="thin">
        <color rgb="FFE2E8F0"/>
      </top>
      <bottom style="thin">
        <color rgb="FFE2E8F0"/>
      </bottom>
    </border>
    <border>
      <left style="thin">
        <color rgb="FFE2E8F0"/>
      </left>
      <bottom style="thin">
        <color rgb="FFE2E8F0"/>
      </bottom>
    </border>
    <border>
      <bottom style="thin">
        <color rgb="FFE2E8F0"/>
      </bottom>
    </border>
    <border>
      <left style="thin">
        <color rgb="FFFFFFFF"/>
      </left>
      <top style="thick">
        <color rgb="FF000000"/>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left style="thin">
        <color rgb="FFFFFFFF"/>
      </left>
      <bottom style="thin">
        <color rgb="FFFFFFFF"/>
      </bottom>
    </border>
    <border>
      <right style="thick">
        <color rgb="FF000000"/>
      </right>
      <top style="thin">
        <color rgb="FF000000"/>
      </top>
      <bottom style="thin">
        <color rgb="FF000000"/>
      </bottom>
    </border>
    <border>
      <right style="thin">
        <color rgb="FFFFFFFF"/>
      </right>
      <bottom style="thin">
        <color rgb="FFFFFFFF"/>
      </bottom>
    </border>
    <border>
      <left style="thin">
        <color rgb="FFE2E8F0"/>
      </left>
      <right style="thin">
        <color rgb="FFE2E8F0"/>
      </right>
      <top style="thin">
        <color rgb="FFE2E8F0"/>
      </top>
      <bottom style="thin">
        <color rgb="FFE2E8F0"/>
      </bottom>
    </border>
    <border>
      <left style="thin">
        <color rgb="FFE2E8F0"/>
      </left>
      <top style="thin">
        <color rgb="FFE2E8F0"/>
      </top>
      <bottom style="thin">
        <color rgb="FFE2E8F0"/>
      </bottom>
    </border>
    <border>
      <left style="thick">
        <color rgb="FF000000"/>
      </left>
      <right style="thin">
        <color rgb="FFFFFFFF"/>
      </right>
      <bottom style="thin">
        <color rgb="FFFFFFFF"/>
      </bottom>
    </border>
    <border>
      <top style="thin">
        <color rgb="FFFFFFFF"/>
      </top>
    </border>
    <border>
      <left style="thin">
        <color rgb="FFFFFFFF"/>
      </left>
      <right style="thin">
        <color rgb="FFFFFFFF"/>
      </right>
      <bottom style="thin">
        <color rgb="FFFFFFFF"/>
      </bottom>
    </border>
    <border>
      <top style="thin">
        <color rgb="FFE2E8F0"/>
      </top>
      <bottom style="thin">
        <color rgb="FFE2E8F0"/>
      </bottom>
    </border>
    <border>
      <left style="thin">
        <color rgb="FF000000"/>
      </left>
      <top style="thin">
        <color rgb="FF000000"/>
      </top>
    </border>
    <border>
      <top style="thin">
        <color rgb="FF000000"/>
      </top>
    </border>
    <border>
      <right style="thick">
        <color rgb="FF000000"/>
      </right>
      <top style="thin">
        <color rgb="FF000000"/>
      </top>
    </border>
    <border>
      <left style="thick">
        <color rgb="FF000000"/>
      </left>
      <right style="thick">
        <color rgb="FF000000"/>
      </right>
    </border>
    <border>
      <left style="medium">
        <color rgb="FFFFFFFF"/>
      </left>
      <top style="medium">
        <color rgb="FFFFFFFF"/>
      </top>
    </border>
    <border>
      <top style="medium">
        <color rgb="FFFFFFFF"/>
      </top>
    </border>
    <border>
      <right style="medium">
        <color rgb="FFFFFFFF"/>
      </right>
      <top style="medium">
        <color rgb="FFFFFFFF"/>
      </top>
    </border>
    <border>
      <left style="medium">
        <color rgb="FFFFFFFF"/>
      </left>
      <right style="medium">
        <color rgb="FFFFFFFF"/>
      </right>
      <top style="medium">
        <color rgb="FFFFFFFF"/>
      </top>
      <bottom style="medium">
        <color rgb="FFFFFFFF"/>
      </bottom>
    </border>
    <border>
      <left style="thin">
        <color rgb="FF000000"/>
      </left>
      <bottom style="thin">
        <color rgb="FF000000"/>
      </bottom>
    </border>
    <border>
      <bottom style="thin">
        <color rgb="FF000000"/>
      </bottom>
    </border>
    <border>
      <right style="thick">
        <color rgb="FF000000"/>
      </right>
      <bottom style="thin">
        <color rgb="FF000000"/>
      </bottom>
    </border>
    <border>
      <left style="thin">
        <color rgb="FFFFFFFF"/>
      </left>
    </border>
    <border>
      <right style="thin">
        <color rgb="FFFFFFFF"/>
      </right>
    </border>
    <border>
      <left style="medium">
        <color rgb="FFFFFFFF"/>
      </left>
    </border>
    <border>
      <right style="medium">
        <color rgb="FFFFFFFF"/>
      </right>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thin">
        <color rgb="FFE2E8F0"/>
      </left>
    </border>
    <border>
      <right style="thin">
        <color rgb="FFE2E8F0"/>
      </right>
    </border>
    <border>
      <left style="thick">
        <color rgb="FF000000"/>
      </left>
      <right style="thin">
        <color rgb="FFFFFFFF"/>
      </right>
      <bottom style="thick">
        <color rgb="FF000000"/>
      </bottom>
    </border>
    <border>
      <left style="thin">
        <color rgb="FFFFFFFF"/>
      </left>
      <right style="thin">
        <color rgb="FFFFFFFF"/>
      </right>
      <bottom style="thick">
        <color rgb="FF000000"/>
      </bottom>
    </border>
    <border>
      <left style="thin">
        <color rgb="FFFFFFFF"/>
      </left>
      <top style="thin">
        <color rgb="FFFFFFFF"/>
      </top>
      <bottom style="thick">
        <color rgb="FF000000"/>
      </bottom>
    </border>
    <border>
      <left style="thin">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right style="thin">
        <color rgb="FF000000"/>
      </right>
      <top style="thin">
        <color rgb="FF000000"/>
      </top>
    </border>
    <border>
      <right style="medium">
        <color rgb="FFFFFFFF"/>
      </right>
      <top style="medium">
        <color rgb="FFFFFFFF"/>
      </top>
      <bottom style="medium">
        <color rgb="FFFFFFFF"/>
      </bottom>
    </border>
    <border>
      <left style="thin">
        <color rgb="FF000000"/>
      </left>
    </border>
    <border>
      <right style="thin">
        <color rgb="FF000000"/>
      </right>
    </border>
    <border>
      <top style="medium">
        <color rgb="FFFFFFFF"/>
      </top>
      <bottom style="medium">
        <color rgb="FFFFFFFF"/>
      </bottom>
    </border>
    <border>
      <left style="thin">
        <color rgb="FF000000"/>
      </left>
      <bottom style="thin">
        <color rgb="FFFFFFFF"/>
      </bottom>
    </border>
    <border>
      <bottom style="thin">
        <color rgb="FFFFFFFF"/>
      </bottom>
    </border>
    <border>
      <right style="thin">
        <color rgb="FF000000"/>
      </right>
      <bottom style="thin">
        <color rgb="FFFFFFFF"/>
      </bottom>
    </border>
    <border>
      <left style="medium">
        <color rgb="FFFFFFFF"/>
      </left>
      <top style="medium">
        <color rgb="FFFFFFFF"/>
      </top>
      <bottom style="medium">
        <color rgb="FFFFFFFF"/>
      </bottom>
    </border>
    <border>
      <left style="thin">
        <color rgb="FF000000"/>
      </left>
      <top style="thin">
        <color rgb="FFFFFFFF"/>
      </top>
    </border>
    <border>
      <right style="thin">
        <color rgb="FF000000"/>
      </right>
      <top style="thin">
        <color rgb="FFFFFFFF"/>
      </top>
    </border>
    <border>
      <left style="dotted">
        <color rgb="FFFFFFFF"/>
      </left>
      <top style="dotted">
        <color rgb="FFFFFFFF"/>
      </top>
    </border>
    <border>
      <right style="thin">
        <color rgb="FF000000"/>
      </right>
      <bottom style="thin">
        <color rgb="FF000000"/>
      </bottom>
    </border>
    <border>
      <top style="dotted">
        <color rgb="FFFFFFFF"/>
      </top>
    </border>
    <border>
      <right style="dotted">
        <color rgb="FFFFFFFF"/>
      </right>
      <top style="dotted">
        <color rgb="FFFFFFFF"/>
      </top>
    </border>
    <border>
      <left style="dotted">
        <color rgb="FFFFFFFF"/>
      </left>
      <bottom style="dotted">
        <color rgb="FFFFFFFF"/>
      </bottom>
    </border>
    <border>
      <bottom style="dotted">
        <color rgb="FFFFFFFF"/>
      </bottom>
    </border>
    <border>
      <right style="dotted">
        <color rgb="FFFFFFFF"/>
      </right>
      <bottom style="dotted">
        <color rgb="FFFFFFFF"/>
      </bottom>
    </border>
    <border>
      <right style="dotted">
        <color rgb="FFFFFFFF"/>
      </right>
    </border>
    <border>
      <left style="dotted">
        <color rgb="FFFFFFFF"/>
      </left>
    </border>
    <border>
      <left style="dotted">
        <color rgb="FF000000"/>
      </left>
      <top style="dotted">
        <color rgb="FF000000"/>
      </top>
      <bottom style="dotted">
        <color rgb="FF000000"/>
      </bottom>
    </border>
    <border>
      <right style="dotted">
        <color rgb="FF000000"/>
      </right>
      <top style="dotted">
        <color rgb="FF000000"/>
      </top>
      <bottom style="dotted">
        <color rgb="FF000000"/>
      </bottom>
    </border>
    <border>
      <top style="dotted">
        <color rgb="FF000000"/>
      </top>
      <bottom style="dotted">
        <color rgb="FF000000"/>
      </bottom>
    </border>
    <border>
      <left style="dotted">
        <color rgb="FFFFFFFF"/>
      </left>
      <right style="dotted">
        <color rgb="FFFFFFFF"/>
      </right>
      <bottom style="dotted">
        <color rgb="FFFFFFFF"/>
      </bottom>
    </border>
    <border>
      <left style="medium">
        <color rgb="FFFFFFFF"/>
      </left>
      <right style="medium">
        <color rgb="FFFFFFFF"/>
      </right>
      <bottom style="medium">
        <color rgb="FFFFFFFF"/>
      </bottom>
    </border>
    <border>
      <left style="dotted">
        <color rgb="FFFFFFFF"/>
      </left>
      <top style="dotted">
        <color rgb="FFFFFFFF"/>
      </top>
      <bottom style="dotted">
        <color rgb="FFFFFFFF"/>
      </bottom>
    </border>
    <border>
      <top style="dotted">
        <color rgb="FFFFFFFF"/>
      </top>
      <bottom style="dotted">
        <color rgb="FFFFFFFF"/>
      </bottom>
    </border>
    <border>
      <right style="dotted">
        <color rgb="FFFFFFFF"/>
      </right>
      <top style="dotted">
        <color rgb="FFFFFFFF"/>
      </top>
      <bottom style="dotted">
        <color rgb="FFFFFFFF"/>
      </bottom>
    </border>
    <border>
      <left style="dotted">
        <color rgb="FF000000"/>
      </left>
      <top style="dotted">
        <color rgb="FF000000"/>
      </top>
    </border>
    <border>
      <right style="dotted">
        <color rgb="FF000000"/>
      </right>
      <top style="dotted">
        <color rgb="FF000000"/>
      </top>
    </border>
    <border>
      <top style="dotted">
        <color rgb="FF000000"/>
      </top>
    </border>
    <border>
      <left style="dotted">
        <color rgb="FF000000"/>
      </left>
    </border>
    <border>
      <right style="dotted">
        <color rgb="FF000000"/>
      </right>
    </border>
    <border>
      <left style="dotted">
        <color rgb="FF000000"/>
      </left>
      <bottom style="dotted">
        <color rgb="FF000000"/>
      </bottom>
    </border>
    <border>
      <right style="dotted">
        <color rgb="FF000000"/>
      </right>
      <bottom style="dotted">
        <color rgb="FF000000"/>
      </bottom>
    </border>
    <border>
      <bottom style="dotted">
        <color rgb="FF000000"/>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center" shrinkToFit="0" vertical="center" wrapText="1"/>
    </xf>
    <xf borderId="2" fillId="3" fontId="3" numFmtId="0" xfId="0" applyAlignment="1" applyBorder="1" applyFill="1" applyFont="1">
      <alignment horizontal="center" readingOrder="0" shrinkToFit="0" vertical="center" wrapText="1"/>
    </xf>
    <xf borderId="4" fillId="0" fontId="4" numFmtId="0" xfId="0" applyBorder="1" applyFont="1"/>
    <xf borderId="3" fillId="0" fontId="5" numFmtId="0" xfId="0" applyAlignment="1" applyBorder="1" applyFont="1">
      <alignment horizontal="center" readingOrder="0" vertical="center"/>
    </xf>
    <xf borderId="5" fillId="4" fontId="6" numFmtId="0" xfId="0" applyAlignment="1" applyBorder="1" applyFill="1" applyFont="1">
      <alignment horizontal="center" readingOrder="0" vertical="center"/>
    </xf>
    <xf borderId="2" fillId="3" fontId="3" numFmtId="0" xfId="0" applyAlignment="1" applyBorder="1" applyFill="1" applyFont="1">
      <alignment horizontal="center" shrinkToFit="0" vertical="center" wrapText="1"/>
    </xf>
    <xf borderId="6" fillId="0" fontId="4" numFmtId="0" xfId="0" applyBorder="1" applyFont="1"/>
    <xf borderId="3" fillId="0" fontId="5" numFmtId="0" xfId="0" applyAlignment="1" applyBorder="1" applyFont="1">
      <alignment horizontal="center" vertical="center"/>
    </xf>
    <xf borderId="7" fillId="0" fontId="4" numFmtId="0" xfId="0" applyBorder="1" applyFont="1"/>
    <xf borderId="3" fillId="5" fontId="7" numFmtId="0" xfId="0" applyAlignment="1" applyBorder="1" applyFill="1" applyFont="1">
      <alignment horizontal="center" readingOrder="0" shrinkToFit="0" vertical="center" wrapText="1"/>
    </xf>
    <xf borderId="8" fillId="4" fontId="6" numFmtId="0" xfId="0" applyAlignment="1" applyBorder="1" applyFill="1" applyFont="1">
      <alignment horizontal="center" readingOrder="0" vertical="center"/>
    </xf>
    <xf borderId="9" fillId="0" fontId="5" numFmtId="0" xfId="0" applyAlignment="1" applyBorder="1" applyFont="1">
      <alignment horizontal="center" vertical="center"/>
    </xf>
    <xf borderId="3" fillId="5" fontId="8" numFmtId="0" xfId="0" applyAlignment="1" applyBorder="1" applyFill="1" applyFont="1">
      <alignment horizontal="center" readingOrder="0" shrinkToFit="0" vertical="center" wrapText="1"/>
    </xf>
    <xf borderId="0" fillId="0" fontId="5" numFmtId="0" xfId="0" applyAlignment="1" applyFont="1">
      <alignment horizontal="center" vertical="center"/>
    </xf>
    <xf borderId="10" fillId="0" fontId="4" numFmtId="0" xfId="0" applyBorder="1" applyFont="1"/>
    <xf borderId="11" fillId="0" fontId="4" numFmtId="0" xfId="0" applyBorder="1" applyFont="1"/>
    <xf borderId="3" fillId="5" fontId="9" numFmtId="0" xfId="0" applyAlignment="1" applyBorder="1" applyFill="1" applyFont="1">
      <alignment horizontal="center" shrinkToFit="0" vertical="center" wrapText="1"/>
    </xf>
    <xf borderId="1" fillId="2" fontId="10" numFmtId="0" xfId="0" applyAlignment="1" applyBorder="1" applyFill="1" applyFont="1">
      <alignment horizontal="center" readingOrder="0" shrinkToFit="0" vertical="center" wrapText="1"/>
    </xf>
    <xf borderId="12" fillId="0" fontId="4" numFmtId="0" xfId="0" applyBorder="1" applyFont="1"/>
    <xf borderId="3" fillId="6" fontId="11" numFmtId="0" xfId="0" applyAlignment="1" applyBorder="1" applyFill="1" applyFont="1">
      <alignment horizontal="center" readingOrder="0" vertical="center"/>
    </xf>
    <xf borderId="13" fillId="0" fontId="4" numFmtId="0" xfId="0" applyBorder="1" applyFont="1"/>
    <xf borderId="14" fillId="0" fontId="4" numFmtId="0" xfId="0" applyBorder="1" applyFont="1"/>
    <xf borderId="16" fillId="2" fontId="12" numFmtId="0" xfId="0" applyAlignment="1" applyBorder="1" applyFill="1" applyFont="1">
      <alignment horizontal="center" shrinkToFit="0" vertical="center" wrapText="1"/>
    </xf>
    <xf borderId="15" fillId="6" fontId="11" numFmtId="0" xfId="0" applyAlignment="1" applyBorder="1" applyFill="1" applyFont="1">
      <alignment horizontal="center" shrinkToFit="0" textRotation="0" vertical="center" wrapText="1"/>
    </xf>
    <xf borderId="17" fillId="7" fontId="13" numFmtId="164" xfId="0" applyAlignment="1" applyBorder="1" applyFill="1" applyFont="1" applyNumberFormat="1">
      <alignment horizontal="center" readingOrder="0" shrinkToFit="0" textRotation="0" vertical="center" wrapText="1"/>
    </xf>
    <xf borderId="18" fillId="0" fontId="4" numFmtId="0" xfId="0" applyBorder="1" applyFont="1"/>
    <xf borderId="3" fillId="6" fontId="11" numFmtId="0" xfId="0" applyAlignment="1" applyBorder="1" applyFill="1" applyFont="1">
      <alignment horizontal="center" vertical="center"/>
    </xf>
    <xf borderId="19" fillId="8" fontId="14" numFmtId="0" xfId="0" applyAlignment="1" applyBorder="1" applyFill="1" applyFont="1">
      <alignment horizontal="center" shrinkToFit="0" vertical="center" wrapText="1"/>
    </xf>
    <xf borderId="20" fillId="6" fontId="15" numFmtId="0" xfId="0" applyAlignment="1" applyBorder="1" applyFill="1" applyFont="1">
      <alignment horizontal="center" shrinkToFit="0" vertical="center" wrapText="1"/>
    </xf>
    <xf borderId="20" fillId="6" fontId="15" numFmtId="0" xfId="0" applyAlignment="1" applyBorder="1" applyFill="1" applyFont="1">
      <alignment horizontal="center" readingOrder="0" shrinkToFit="0" vertical="center" wrapText="1"/>
    </xf>
    <xf borderId="9" fillId="9" fontId="11" numFmtId="165" xfId="0" applyAlignment="1" applyBorder="1" applyFill="1" applyFont="1" applyNumberFormat="1">
      <alignment horizontal="center" shrinkToFit="0" textRotation="0" vertical="center" wrapText="1"/>
    </xf>
    <xf borderId="21" fillId="2" fontId="16" numFmtId="0" xfId="0" applyAlignment="1" applyBorder="1" applyFill="1" applyFont="1">
      <alignment horizontal="center" readingOrder="0" shrinkToFit="0" vertical="center" wrapText="1"/>
    </xf>
    <xf borderId="22" fillId="8" fontId="4" numFmtId="0" xfId="0" applyBorder="1" applyFill="1" applyFont="1"/>
    <xf borderId="23" fillId="0" fontId="4" numFmtId="0" xfId="0" applyBorder="1" applyFont="1"/>
    <xf borderId="25" fillId="3" fontId="17" numFmtId="0" xfId="0" applyAlignment="1" applyBorder="1" applyFill="1" applyFont="1">
      <alignment horizontal="center" shrinkToFit="0" vertical="center" wrapText="1"/>
    </xf>
    <xf borderId="24" fillId="7" fontId="13" numFmtId="164" xfId="0" applyAlignment="1" applyBorder="1" applyFill="1" applyFont="1" applyNumberFormat="1">
      <alignment horizontal="center" readingOrder="0" shrinkToFit="0" textRotation="0" vertical="center" wrapText="1"/>
    </xf>
    <xf borderId="26" fillId="0" fontId="4" numFmtId="0" xfId="0" applyBorder="1" applyFont="1"/>
    <xf borderId="27" fillId="8" fontId="4" numFmtId="0" xfId="0" applyBorder="1" applyFill="1" applyFont="1"/>
    <xf borderId="28" fillId="2" fontId="18" numFmtId="0" xfId="0" applyAlignment="1" applyBorder="1" applyFill="1" applyFont="1">
      <alignment horizontal="center" shrinkToFit="0" vertical="center" wrapText="1"/>
    </xf>
    <xf borderId="9" fillId="10" fontId="11" numFmtId="0" xfId="0" applyAlignment="1" applyBorder="1" applyFill="1" applyFont="1">
      <alignment horizontal="center" shrinkToFit="0" textRotation="0" vertical="center" wrapText="1"/>
    </xf>
    <xf borderId="29" fillId="11" fontId="14" numFmtId="0" xfId="0" applyAlignment="1" applyBorder="1" applyFill="1" applyFont="1">
      <alignment horizontal="center" shrinkToFit="0" vertical="center" wrapText="1"/>
    </xf>
    <xf borderId="30" fillId="11" fontId="4" numFmtId="0" xfId="0" applyBorder="1" applyFill="1" applyFont="1"/>
    <xf borderId="31" fillId="11" fontId="4" numFmtId="0" xfId="0" applyBorder="1" applyFill="1" applyFont="1"/>
    <xf borderId="9" fillId="12" fontId="11" numFmtId="165" xfId="0" applyAlignment="1" applyBorder="1" applyFill="1" applyFont="1" applyNumberFormat="1">
      <alignment horizontal="center" shrinkToFit="0" textRotation="0" vertical="center" wrapText="1"/>
    </xf>
    <xf borderId="32" fillId="7" fontId="19" numFmtId="20" xfId="0" applyAlignment="1" applyBorder="1" applyFill="1" applyFont="1" applyNumberFormat="1">
      <alignment horizontal="center" readingOrder="0" vertical="center"/>
    </xf>
    <xf borderId="19" fillId="11" fontId="4" numFmtId="0" xfId="0" applyBorder="1" applyFill="1" applyFont="1"/>
    <xf borderId="3" fillId="13" fontId="20" numFmtId="0" xfId="0" applyAlignment="1" applyBorder="1" applyFill="1" applyFont="1">
      <alignment horizontal="center" readingOrder="0" vertical="center"/>
    </xf>
    <xf borderId="28" fillId="5" fontId="21" numFmtId="0" xfId="0" applyAlignment="1" applyBorder="1" applyFill="1" applyFont="1">
      <alignment horizontal="center" readingOrder="0" shrinkToFit="0" vertical="center" wrapText="1"/>
    </xf>
    <xf borderId="3" fillId="0" fontId="9" numFmtId="0" xfId="0" applyAlignment="1" applyBorder="1" applyFont="1">
      <alignment horizontal="center" shrinkToFit="0" vertical="center" wrapText="1"/>
    </xf>
    <xf borderId="33" fillId="7" fontId="22" numFmtId="0" xfId="0" applyAlignment="1" applyBorder="1" applyFill="1" applyFont="1">
      <alignment horizontal="center" readingOrder="0" shrinkToFit="0" textRotation="0" vertical="center" wrapText="1"/>
    </xf>
    <xf borderId="34" fillId="0" fontId="4" numFmtId="0" xfId="0" applyBorder="1" applyFont="1"/>
    <xf borderId="35" fillId="0" fontId="4" numFmtId="0" xfId="0" applyBorder="1" applyFont="1"/>
    <xf borderId="29" fillId="8" fontId="14" numFmtId="0" xfId="0" applyAlignment="1" applyBorder="1" applyFill="1" applyFont="1">
      <alignment horizontal="center" shrinkToFit="0" vertical="center" wrapText="1"/>
    </xf>
    <xf borderId="36" fillId="0" fontId="4" numFmtId="0" xfId="0" applyBorder="1" applyFont="1"/>
    <xf borderId="37" fillId="0" fontId="4" numFmtId="0" xfId="0" applyBorder="1" applyFont="1"/>
    <xf borderId="38" fillId="8" fontId="14" numFmtId="0" xfId="0" applyAlignment="1" applyBorder="1" applyFill="1" applyFont="1">
      <alignment horizontal="center" shrinkToFit="0" vertical="center" wrapText="1"/>
    </xf>
    <xf borderId="8" fillId="7" fontId="23" numFmtId="0" xfId="0" applyAlignment="1" applyBorder="1" applyFill="1" applyFont="1">
      <alignment horizontal="center" readingOrder="0" vertical="center"/>
    </xf>
    <xf borderId="3" fillId="13" fontId="20" numFmtId="0" xfId="0" applyAlignment="1" applyBorder="1" applyFill="1" applyFont="1">
      <alignment horizontal="center" vertical="center"/>
    </xf>
    <xf borderId="28" fillId="5" fontId="21" numFmtId="0" xfId="0" applyAlignment="1" applyBorder="1" applyFill="1" applyFont="1">
      <alignment horizontal="center" shrinkToFit="0" vertical="center" wrapText="1"/>
    </xf>
    <xf borderId="39" fillId="8" fontId="14" numFmtId="0" xfId="0" applyAlignment="1" applyBorder="1" applyFill="1" applyFont="1">
      <alignment horizontal="center" shrinkToFit="0" vertical="center" wrapText="1"/>
    </xf>
    <xf borderId="9" fillId="13" fontId="24" numFmtId="0" xfId="0" applyAlignment="1" applyBorder="1" applyFill="1" applyFont="1">
      <alignment horizontal="center" readingOrder="0" shrinkToFit="0" textRotation="0" vertical="center" wrapText="1"/>
    </xf>
    <xf borderId="26" fillId="8" fontId="14" numFmtId="0" xfId="0" applyAlignment="1" applyBorder="1" applyFill="1" applyFont="1">
      <alignment horizontal="center" shrinkToFit="0" vertical="center" wrapText="1"/>
    </xf>
    <xf borderId="40" fillId="8" fontId="25" numFmtId="164" xfId="0" applyAlignment="1" applyBorder="1" applyFill="1" applyFont="1" applyNumberFormat="1">
      <alignment horizontal="center" readingOrder="0" shrinkToFit="0" textRotation="0" vertical="center" wrapText="1"/>
    </xf>
    <xf borderId="28" fillId="5" fontId="26" numFmtId="0" xfId="0" applyAlignment="1" applyBorder="1" applyFill="1" applyFont="1">
      <alignment horizontal="center" readingOrder="0" shrinkToFit="0" vertical="center" wrapText="1"/>
    </xf>
    <xf borderId="15" fillId="13" fontId="24" numFmtId="0" xfId="0" applyAlignment="1" applyBorder="1" applyFill="1" applyFont="1">
      <alignment horizontal="center" readingOrder="0" shrinkToFit="0" textRotation="0" vertical="center" wrapText="1"/>
    </xf>
    <xf borderId="3" fillId="8" fontId="14" numFmtId="0" xfId="0" applyAlignment="1" applyBorder="1" applyFill="1" applyFont="1">
      <alignment horizontal="center" shrinkToFit="0" vertical="center" wrapText="1"/>
    </xf>
    <xf borderId="41" fillId="0" fontId="4" numFmtId="0" xfId="0" applyBorder="1" applyFont="1"/>
    <xf borderId="28" fillId="5" fontId="26" numFmtId="0" xfId="0" applyAlignment="1" applyBorder="1" applyFill="1" applyFont="1">
      <alignment horizontal="center" shrinkToFit="0" vertical="center" wrapText="1"/>
    </xf>
    <xf borderId="42" fillId="8" fontId="25" numFmtId="164" xfId="0" applyAlignment="1" applyBorder="1" applyFill="1" applyFont="1" applyNumberFormat="1">
      <alignment horizontal="center" readingOrder="0" shrinkToFit="0" textRotation="0" vertical="center" wrapText="1"/>
    </xf>
    <xf borderId="41" fillId="13" fontId="24" numFmtId="0" xfId="0" applyAlignment="1" applyBorder="1" applyFill="1" applyFont="1">
      <alignment horizontal="center" readingOrder="0" shrinkToFit="0" textRotation="0" vertical="center" wrapText="1"/>
    </xf>
    <xf borderId="3" fillId="2" fontId="18" numFmtId="0" xfId="0" applyAlignment="1" applyBorder="1" applyFill="1" applyFont="1">
      <alignment horizontal="center" shrinkToFit="0" vertical="center" wrapText="1"/>
    </xf>
    <xf borderId="39" fillId="11" fontId="27" numFmtId="0" xfId="0" applyAlignment="1" applyBorder="1" applyFill="1" applyFont="1">
      <alignment horizontal="center" readingOrder="0" shrinkToFit="0" vertical="center" wrapText="1"/>
    </xf>
    <xf borderId="15" fillId="8" fontId="19" numFmtId="20" xfId="0" applyAlignment="1" applyBorder="1" applyFill="1" applyFont="1" applyNumberFormat="1">
      <alignment horizontal="center" readingOrder="0" vertical="center"/>
    </xf>
    <xf borderId="2" fillId="13" fontId="20" numFmtId="0" xfId="0" applyAlignment="1" applyBorder="1" applyFill="1" applyFont="1">
      <alignment horizontal="center" vertical="center"/>
    </xf>
    <xf borderId="43" fillId="11" fontId="4" numFmtId="0" xfId="0" applyBorder="1" applyFill="1" applyFont="1"/>
    <xf borderId="3" fillId="11" fontId="21" numFmtId="0" xfId="0" applyAlignment="1" applyBorder="1" applyFill="1" applyFont="1">
      <alignment horizontal="center" readingOrder="0" shrinkToFit="0" vertical="center" wrapText="1"/>
    </xf>
    <xf borderId="44" fillId="8" fontId="22" numFmtId="0" xfId="0" applyAlignment="1" applyBorder="1" applyFill="1" applyFont="1">
      <alignment horizontal="center" readingOrder="0" shrinkToFit="0" textRotation="0" vertical="center" wrapText="1"/>
    </xf>
    <xf borderId="29" fillId="11" fontId="4" numFmtId="0" xfId="0" applyBorder="1" applyFill="1" applyFont="1"/>
    <xf borderId="45" fillId="0" fontId="4" numFmtId="0" xfId="0" applyBorder="1" applyFont="1"/>
    <xf borderId="3" fillId="11" fontId="28" numFmtId="164" xfId="0" applyAlignment="1" applyBorder="1" applyFill="1" applyFont="1" applyNumberFormat="1">
      <alignment horizontal="center" shrinkToFit="0" textRotation="0" vertical="center" wrapText="1"/>
    </xf>
    <xf borderId="3" fillId="11" fontId="21" numFmtId="0" xfId="0" applyAlignment="1" applyBorder="1" applyFill="1" applyFont="1">
      <alignment horizontal="center" shrinkToFit="0" vertical="center" wrapText="1"/>
    </xf>
    <xf borderId="46" fillId="0" fontId="4" numFmtId="0" xfId="0" applyBorder="1" applyFont="1"/>
    <xf borderId="39" fillId="2" fontId="29" numFmtId="0" xfId="0" applyAlignment="1" applyBorder="1" applyFill="1" applyFont="1">
      <alignment horizontal="left" readingOrder="0" shrinkToFit="0" vertical="center" wrapText="1"/>
    </xf>
    <xf borderId="3" fillId="11" fontId="26" numFmtId="0" xfId="0" applyAlignment="1" applyBorder="1" applyFill="1" applyFont="1">
      <alignment horizontal="center" readingOrder="0" shrinkToFit="0" vertical="center" wrapText="1"/>
    </xf>
    <xf borderId="47" fillId="8" fontId="23" numFmtId="0" xfId="0" applyAlignment="1" applyBorder="1" applyFill="1" applyFont="1">
      <alignment horizontal="center" readingOrder="0" vertical="center"/>
    </xf>
    <xf borderId="43" fillId="8" fontId="4" numFmtId="0" xfId="0" applyBorder="1" applyFill="1" applyFont="1"/>
    <xf borderId="15" fillId="14" fontId="30" numFmtId="0" xfId="0" applyAlignment="1" applyBorder="1" applyFill="1" applyFont="1">
      <alignment horizontal="center" readingOrder="0" shrinkToFit="0" textRotation="0" vertical="center" wrapText="1"/>
    </xf>
    <xf borderId="3" fillId="11" fontId="26" numFmtId="0" xfId="0" applyAlignment="1" applyBorder="1" applyFill="1" applyFont="1">
      <alignment horizontal="center" shrinkToFit="0" vertical="center" wrapText="1"/>
    </xf>
    <xf borderId="29" fillId="8" fontId="4" numFmtId="0" xfId="0" applyBorder="1" applyFill="1" applyFont="1"/>
    <xf borderId="48" fillId="15" fontId="31" numFmtId="0" xfId="0" applyAlignment="1" applyBorder="1" applyFill="1" applyFont="1">
      <alignment horizontal="center" readingOrder="0" shrinkToFit="0" textRotation="0" vertical="center" wrapText="1"/>
    </xf>
    <xf borderId="40" fillId="7" fontId="13" numFmtId="164" xfId="0" applyAlignment="1" applyBorder="1" applyFill="1" applyFont="1" applyNumberFormat="1">
      <alignment horizontal="center" readingOrder="0" shrinkToFit="0" textRotation="0" vertical="center" wrapText="1"/>
    </xf>
    <xf borderId="38" fillId="11" fontId="14" numFmtId="0" xfId="0" applyAlignment="1" applyBorder="1" applyFill="1" applyFont="1">
      <alignment horizontal="center" shrinkToFit="0" vertical="center" wrapText="1"/>
    </xf>
    <xf borderId="49" fillId="0" fontId="4" numFmtId="0" xfId="0" applyBorder="1" applyFont="1"/>
    <xf borderId="50" fillId="0" fontId="4" numFmtId="0" xfId="0" applyBorder="1" applyFont="1"/>
    <xf borderId="42" fillId="7" fontId="13" numFmtId="164" xfId="0" applyAlignment="1" applyBorder="1" applyFill="1" applyFont="1" applyNumberFormat="1">
      <alignment horizontal="center" readingOrder="0" shrinkToFit="0" textRotation="0" vertical="center" wrapText="1"/>
    </xf>
    <xf borderId="39" fillId="11" fontId="32" numFmtId="0" xfId="0" applyAlignment="1" applyBorder="1" applyFill="1" applyFont="1">
      <alignment horizontal="center" shrinkToFit="0" vertical="center" wrapText="1"/>
    </xf>
    <xf borderId="52" fillId="0" fontId="4" numFmtId="0" xfId="0" applyBorder="1" applyFont="1"/>
    <xf borderId="51" fillId="0" fontId="5" numFmtId="0" xfId="0" applyAlignment="1" applyBorder="1" applyFont="1">
      <alignment horizontal="center" vertical="center"/>
    </xf>
    <xf borderId="53" fillId="0" fontId="4" numFmtId="0" xfId="0" applyBorder="1" applyFont="1"/>
    <xf borderId="26" fillId="11" fontId="32" numFmtId="0" xfId="0" applyAlignment="1" applyBorder="1" applyFill="1" applyFont="1">
      <alignment horizontal="center" shrinkToFit="0" vertical="center" wrapText="1"/>
    </xf>
    <xf borderId="3" fillId="2" fontId="18" numFmtId="0" xfId="0" applyAlignment="1" applyBorder="1" applyFill="1" applyFont="1">
      <alignment horizontal="center" readingOrder="0" shrinkToFit="0" vertical="center" wrapText="1"/>
    </xf>
    <xf borderId="54" fillId="0" fontId="4" numFmtId="0" xfId="0" applyBorder="1" applyFont="1"/>
    <xf borderId="47" fillId="0" fontId="4" numFmtId="0" xfId="0" applyBorder="1" applyFont="1"/>
    <xf borderId="3" fillId="11" fontId="32" numFmtId="0" xfId="0" applyAlignment="1" applyBorder="1" applyFill="1" applyFont="1">
      <alignment horizontal="center" shrinkToFit="0" vertical="center" wrapText="1"/>
    </xf>
    <xf borderId="3" fillId="11" fontId="33" numFmtId="164" xfId="0" applyAlignment="1" applyBorder="1" applyFill="1" applyFont="1" applyNumberFormat="1">
      <alignment horizontal="center" shrinkToFit="0" textRotation="0" vertical="center" wrapText="1"/>
    </xf>
    <xf borderId="3" fillId="0" fontId="34" numFmtId="0" xfId="0" applyAlignment="1" applyBorder="1" applyFont="1">
      <alignment horizontal="center" shrinkToFit="0" vertical="center" wrapText="1"/>
    </xf>
    <xf borderId="9" fillId="8" fontId="19" numFmtId="20" xfId="0" applyAlignment="1" applyBorder="1" applyFill="1" applyFont="1" applyNumberFormat="1">
      <alignment horizontal="center" readingOrder="0" vertical="center"/>
    </xf>
    <xf borderId="55" fillId="0" fontId="4" numFmtId="0" xfId="0" applyBorder="1" applyFont="1"/>
    <xf borderId="56" fillId="0" fontId="4" numFmtId="0" xfId="0" applyBorder="1" applyFont="1"/>
    <xf borderId="33" fillId="8" fontId="22" numFmtId="0" xfId="0" applyAlignment="1" applyBorder="1" applyFill="1" applyFont="1">
      <alignment horizontal="center" readingOrder="0" shrinkToFit="0" textRotation="0" vertical="center" wrapText="1"/>
    </xf>
    <xf borderId="57" fillId="0" fontId="4" numFmtId="0" xfId="0" applyBorder="1" applyFont="1"/>
    <xf borderId="21" fillId="8" fontId="35" numFmtId="0" xfId="0" applyAlignment="1" applyBorder="1" applyFill="1" applyFont="1">
      <alignment horizontal="center" shrinkToFit="0" textRotation="90" vertical="center" wrapText="1"/>
    </xf>
    <xf borderId="58" fillId="0" fontId="4" numFmtId="0" xfId="0" applyBorder="1" applyFont="1"/>
    <xf borderId="39" fillId="6" fontId="35" numFmtId="0" xfId="0" applyAlignment="1" applyBorder="1" applyFill="1" applyFont="1">
      <alignment horizontal="center" shrinkToFit="0" textRotation="90" vertical="center" wrapText="1"/>
    </xf>
    <xf borderId="9" fillId="7" fontId="19" numFmtId="20" xfId="0" applyAlignment="1" applyBorder="1" applyFill="1" applyFont="1" applyNumberFormat="1">
      <alignment horizontal="center" readingOrder="0" vertical="center"/>
    </xf>
    <xf borderId="59" fillId="0" fontId="4" numFmtId="0" xfId="0" applyBorder="1" applyFont="1"/>
    <xf borderId="28" fillId="16" fontId="18" numFmtId="0" xfId="0" applyAlignment="1" applyBorder="1" applyFill="1" applyFont="1">
      <alignment horizontal="center" shrinkToFit="0" vertical="center" wrapText="1"/>
    </xf>
    <xf borderId="39" fillId="6" fontId="35" numFmtId="0" xfId="0" applyAlignment="1" applyBorder="1" applyFill="1" applyFont="1">
      <alignment readingOrder="0" shrinkToFit="0" vertical="center" wrapText="1"/>
    </xf>
    <xf borderId="60" fillId="0" fontId="4" numFmtId="0" xfId="0" applyBorder="1" applyFont="1"/>
    <xf borderId="47" fillId="7" fontId="23" numFmtId="0" xfId="0" applyAlignment="1" applyBorder="1" applyFill="1" applyFont="1">
      <alignment horizontal="center" readingOrder="0" vertical="center"/>
    </xf>
    <xf borderId="61" fillId="0" fontId="4" numFmtId="0" xfId="0" applyBorder="1" applyFont="1"/>
    <xf borderId="62" fillId="11" fontId="4" numFmtId="0" xfId="0" applyBorder="1" applyFill="1" applyFont="1"/>
    <xf borderId="63" fillId="11" fontId="4" numFmtId="0" xfId="0" applyBorder="1" applyFill="1" applyFont="1"/>
    <xf borderId="48" fillId="17" fontId="30" numFmtId="0" xfId="0" applyAlignment="1" applyBorder="1" applyFill="1" applyFont="1">
      <alignment horizontal="center" readingOrder="0" shrinkToFit="0" textRotation="0" vertical="center" wrapText="1"/>
    </xf>
    <xf borderId="38" fillId="18" fontId="36" numFmtId="0" xfId="0" applyAlignment="1" applyBorder="1" applyFill="1" applyFont="1">
      <alignment horizontal="center" shrinkToFit="0" textRotation="90" vertical="center" wrapText="1"/>
    </xf>
    <xf borderId="25" fillId="3" fontId="17" numFmtId="0" xfId="0" applyAlignment="1" applyBorder="1" applyFill="1" applyFont="1">
      <alignment horizontal="center" shrinkToFit="0" wrapText="1"/>
    </xf>
    <xf borderId="38" fillId="18" fontId="37" numFmtId="0" xfId="0" applyAlignment="1" applyBorder="1" applyFill="1" applyFont="1">
      <alignment horizontal="center" readingOrder="0" shrinkToFit="0" vertical="center" wrapText="1"/>
    </xf>
    <xf borderId="28" fillId="0" fontId="21" numFmtId="0" xfId="0" applyAlignment="1" applyBorder="1" applyFont="1">
      <alignment horizontal="center" readingOrder="0" shrinkToFit="0" wrapText="1"/>
    </xf>
    <xf borderId="38" fillId="18" fontId="26" numFmtId="0" xfId="0" applyAlignment="1" applyBorder="1" applyFill="1" applyFont="1">
      <alignment readingOrder="0" shrinkToFit="0" vertical="center" wrapText="1"/>
    </xf>
    <xf borderId="48" fillId="19" fontId="30" numFmtId="0" xfId="0" applyAlignment="1" applyBorder="1" applyFill="1" applyFont="1">
      <alignment horizontal="center" readingOrder="0" shrinkToFit="0" textRotation="0" vertical="center" wrapText="1"/>
    </xf>
    <xf borderId="64" fillId="8" fontId="25" numFmtId="164" xfId="0" applyAlignment="1" applyBorder="1" applyFill="1" applyFont="1" applyNumberFormat="1">
      <alignment horizontal="center" readingOrder="0" shrinkToFit="0" textRotation="0" vertical="center" wrapText="1"/>
    </xf>
    <xf borderId="3" fillId="11" fontId="21" numFmtId="0" xfId="0" applyAlignment="1" applyBorder="1" applyFill="1" applyFont="1">
      <alignment horizontal="center" shrinkToFit="0" wrapText="1"/>
    </xf>
    <xf borderId="48" fillId="19" fontId="38" numFmtId="0" xfId="0" applyAlignment="1" applyBorder="1" applyFill="1" applyFont="1">
      <alignment horizontal="center" shrinkToFit="0" textRotation="0" vertical="center" wrapText="1"/>
    </xf>
    <xf borderId="65" fillId="8" fontId="25" numFmtId="164" xfId="0" applyAlignment="1" applyBorder="1" applyFill="1" applyFont="1" applyNumberFormat="1">
      <alignment horizontal="center" readingOrder="0" shrinkToFit="0" textRotation="0" vertical="center" wrapText="1"/>
    </xf>
    <xf borderId="3" fillId="11" fontId="5" numFmtId="0" xfId="0" applyBorder="1" applyFill="1" applyFont="1"/>
    <xf borderId="39" fillId="18" fontId="26" numFmtId="0" xfId="0" applyAlignment="1" applyBorder="1" applyFill="1" applyFont="1">
      <alignment readingOrder="0" shrinkToFit="0" vertical="center" wrapText="1"/>
    </xf>
    <xf borderId="66" fillId="8" fontId="19" numFmtId="20" xfId="0" applyAlignment="1" applyBorder="1" applyFill="1" applyFont="1" applyNumberFormat="1">
      <alignment horizontal="center" readingOrder="0" vertical="center"/>
    </xf>
    <xf borderId="3" fillId="11" fontId="26" numFmtId="0" xfId="0" applyAlignment="1" applyBorder="1" applyFill="1" applyFont="1">
      <alignment horizontal="center" readingOrder="0" shrinkToFit="0" wrapText="1"/>
    </xf>
    <xf borderId="62" fillId="8" fontId="4" numFmtId="0" xfId="0" applyBorder="1" applyFill="1" applyFont="1"/>
    <xf borderId="48" fillId="20" fontId="6" numFmtId="0" xfId="0" applyAlignment="1" applyBorder="1" applyFill="1" applyFont="1">
      <alignment horizontal="center" readingOrder="0" shrinkToFit="0" textRotation="0" vertical="center" wrapText="1"/>
    </xf>
    <xf borderId="67" fillId="8" fontId="22" numFmtId="0" xfId="0" applyAlignment="1" applyBorder="1" applyFill="1" applyFont="1">
      <alignment horizontal="center" readingOrder="0" shrinkToFit="0" textRotation="0" vertical="center" wrapText="1"/>
    </xf>
    <xf borderId="63" fillId="8" fontId="4" numFmtId="0" xfId="0" applyBorder="1" applyFill="1" applyFont="1"/>
    <xf borderId="0" fillId="0" fontId="5" numFmtId="0" xfId="0" applyAlignment="1" applyFont="1">
      <alignment vertical="bottom"/>
    </xf>
    <xf borderId="68" fillId="0" fontId="4" numFmtId="0" xfId="0" applyBorder="1" applyFont="1"/>
    <xf borderId="69" fillId="0" fontId="4" numFmtId="0" xfId="0" applyBorder="1" applyFont="1"/>
    <xf borderId="38" fillId="21" fontId="36" numFmtId="0" xfId="0" applyAlignment="1" applyBorder="1" applyFill="1" applyFont="1">
      <alignment horizontal="center" shrinkToFit="0" textRotation="90" vertical="center" wrapText="1"/>
    </xf>
    <xf borderId="44" fillId="22" fontId="39" numFmtId="0" xfId="0" applyAlignment="1" applyBorder="1" applyFill="1" applyFont="1">
      <alignment horizontal="center" shrinkToFit="0" vertical="center" wrapText="1"/>
    </xf>
    <xf borderId="14" fillId="8" fontId="23" numFmtId="0" xfId="0" applyAlignment="1" applyBorder="1" applyFill="1" applyFont="1">
      <alignment horizontal="center" readingOrder="0" vertical="center"/>
    </xf>
    <xf borderId="70" fillId="0" fontId="4" numFmtId="0" xfId="0" applyBorder="1" applyFont="1"/>
    <xf borderId="38" fillId="21" fontId="40" numFmtId="0" xfId="0" applyAlignment="1" applyBorder="1" applyFill="1" applyFont="1">
      <alignment horizontal="center" readingOrder="0" shrinkToFit="0" vertical="center" wrapText="1"/>
    </xf>
    <xf borderId="71" fillId="0" fontId="5" numFmtId="0" xfId="0" applyAlignment="1" applyBorder="1" applyFont="1">
      <alignment horizontal="center" vertical="center"/>
    </xf>
    <xf borderId="38" fillId="21" fontId="26" numFmtId="0" xfId="0" applyAlignment="1" applyBorder="1" applyFill="1" applyFont="1">
      <alignment readingOrder="0" shrinkToFit="0" vertical="center" wrapText="1"/>
    </xf>
    <xf borderId="26" fillId="0" fontId="5" numFmtId="0" xfId="0" applyAlignment="1" applyBorder="1" applyFont="1">
      <alignment horizontal="center" vertical="center"/>
    </xf>
    <xf borderId="72" fillId="0" fontId="4" numFmtId="0" xfId="0" applyBorder="1" applyFont="1"/>
    <xf borderId="73" fillId="0" fontId="4" numFmtId="0" xfId="0" applyBorder="1" applyFont="1"/>
    <xf borderId="39" fillId="21" fontId="26" numFmtId="0" xfId="0" applyAlignment="1" applyBorder="1" applyFill="1" applyFont="1">
      <alignment readingOrder="0" shrinkToFit="0" vertical="center" wrapText="1"/>
    </xf>
    <xf borderId="74" fillId="0" fontId="5" numFmtId="0" xfId="0" applyAlignment="1" applyBorder="1" applyFont="1">
      <alignment horizontal="center" vertical="center"/>
    </xf>
    <xf borderId="15" fillId="23" fontId="41" numFmtId="0" xfId="0" applyAlignment="1" applyBorder="1" applyFill="1" applyFont="1">
      <alignment horizontal="center" readingOrder="0" shrinkToFit="0" textRotation="0" vertical="center" wrapText="1"/>
    </xf>
    <xf borderId="38" fillId="24" fontId="36" numFmtId="0" xfId="0" applyAlignment="1" applyBorder="1" applyFill="1" applyFont="1">
      <alignment horizontal="center" shrinkToFit="0" textRotation="90" vertical="center" wrapText="1"/>
    </xf>
    <xf borderId="28" fillId="2" fontId="18" numFmtId="0" xfId="0" applyAlignment="1" applyBorder="1" applyFill="1" applyFont="1">
      <alignment horizontal="center" readingOrder="0" shrinkToFit="0" vertical="center" wrapText="1"/>
    </xf>
    <xf borderId="38" fillId="24" fontId="42" numFmtId="0" xfId="0" applyAlignment="1" applyBorder="1" applyFill="1" applyFont="1">
      <alignment horizontal="center" readingOrder="0" shrinkToFit="0" vertical="center" wrapText="1"/>
    </xf>
    <xf borderId="55" fillId="23" fontId="41" numFmtId="0" xfId="0" applyAlignment="1" applyBorder="1" applyFill="1" applyFont="1">
      <alignment horizontal="center" readingOrder="0" shrinkToFit="0" textRotation="0" vertical="center" wrapText="1"/>
    </xf>
    <xf borderId="38" fillId="24" fontId="26" numFmtId="0" xfId="0" applyAlignment="1" applyBorder="1" applyFill="1" applyFont="1">
      <alignment readingOrder="0" shrinkToFit="0" vertical="center" wrapText="1"/>
    </xf>
    <xf borderId="3" fillId="0" fontId="31" numFmtId="0" xfId="0" applyAlignment="1" applyBorder="1" applyFont="1">
      <alignment horizontal="center" readingOrder="0" shrinkToFit="0" textRotation="0" vertical="center" wrapText="1"/>
    </xf>
    <xf borderId="0" fillId="0" fontId="31" numFmtId="0" xfId="0" applyAlignment="1" applyFont="1">
      <alignment horizontal="center" readingOrder="0" shrinkToFit="0" textRotation="0" vertical="center" wrapText="1"/>
    </xf>
    <xf borderId="75" fillId="0" fontId="4" numFmtId="0" xfId="0" applyBorder="1" applyFont="1"/>
    <xf borderId="39" fillId="24" fontId="26" numFmtId="0" xfId="0" applyAlignment="1" applyBorder="1" applyFill="1" applyFont="1">
      <alignment readingOrder="0" shrinkToFit="0" vertical="center" wrapText="1"/>
    </xf>
    <xf borderId="76" fillId="0" fontId="4" numFmtId="0" xfId="0" applyBorder="1" applyFont="1"/>
    <xf borderId="77" fillId="0" fontId="4" numFmtId="0" xfId="0" applyBorder="1" applyFont="1"/>
    <xf borderId="78" fillId="0" fontId="5" numFmtId="0" xfId="0" applyAlignment="1" applyBorder="1" applyFont="1">
      <alignment horizontal="center" vertical="center"/>
    </xf>
    <xf borderId="39" fillId="8" fontId="32" numFmtId="0" xfId="0" applyAlignment="1" applyBorder="1" applyFill="1" applyFont="1">
      <alignment horizontal="center" shrinkToFit="0" vertical="center" wrapText="1"/>
    </xf>
    <xf borderId="57" fillId="16" fontId="31" numFmtId="0" xfId="0" applyAlignment="1" applyBorder="1" applyFill="1" applyFont="1">
      <alignment horizontal="center" readingOrder="0" shrinkToFit="0" textRotation="0" vertical="center" wrapText="1"/>
    </xf>
    <xf borderId="26" fillId="8" fontId="32" numFmtId="0" xfId="0" applyAlignment="1" applyBorder="1" applyFill="1" applyFont="1">
      <alignment horizontal="center" shrinkToFit="0" vertical="center" wrapText="1"/>
    </xf>
    <xf borderId="3" fillId="8" fontId="32" numFmtId="0" xfId="0" applyAlignment="1" applyBorder="1" applyFill="1" applyFont="1">
      <alignment horizontal="center" shrinkToFit="0" vertical="center" wrapText="1"/>
    </xf>
    <xf borderId="79" fillId="25" fontId="43" numFmtId="0" xfId="0" applyAlignment="1" applyBorder="1" applyFill="1" applyFont="1">
      <alignment horizontal="center" shrinkToFit="0" vertical="center" wrapText="1"/>
    </xf>
    <xf borderId="9" fillId="6" fontId="11" numFmtId="0" xfId="0" applyAlignment="1" applyBorder="1" applyFill="1" applyFont="1">
      <alignment horizontal="center" readingOrder="0" vertical="center"/>
    </xf>
    <xf borderId="79" fillId="25" fontId="43" numFmtId="0" xfId="0" applyAlignment="1" applyBorder="1" applyFill="1" applyFont="1">
      <alignment horizontal="center" readingOrder="0" shrinkToFit="0" vertical="center" wrapText="1"/>
    </xf>
    <xf borderId="39" fillId="11" fontId="35" numFmtId="0" xfId="0" applyAlignment="1" applyBorder="1" applyFill="1" applyFont="1">
      <alignment horizontal="center" readingOrder="0" shrinkToFit="0" vertical="center" wrapText="1"/>
    </xf>
    <xf borderId="26" fillId="0" fontId="31" numFmtId="0" xfId="0" applyAlignment="1" applyBorder="1" applyFont="1">
      <alignment horizontal="center" readingOrder="0" shrinkToFit="0" textRotation="0" vertical="center" wrapText="1"/>
    </xf>
    <xf borderId="39" fillId="11" fontId="26" numFmtId="0" xfId="0" applyAlignment="1" applyBorder="1" applyFill="1" applyFont="1">
      <alignment readingOrder="0" shrinkToFit="0" vertical="center" wrapText="1"/>
    </xf>
    <xf borderId="15" fillId="17" fontId="44" numFmtId="0" xfId="0" applyAlignment="1" applyBorder="1" applyFill="1" applyFont="1">
      <alignment horizontal="center" readingOrder="0" shrinkToFit="0" textRotation="0" vertical="center" wrapText="1"/>
    </xf>
    <xf borderId="9" fillId="13" fontId="20" numFmtId="0" xfId="0" applyAlignment="1" applyBorder="1" applyFill="1" applyFont="1">
      <alignment horizontal="center" readingOrder="0" vertical="center"/>
    </xf>
    <xf borderId="42" fillId="8" fontId="9" numFmtId="0" xfId="0" applyAlignment="1" applyBorder="1" applyFill="1" applyFont="1">
      <alignment horizontal="center" shrinkToFit="0" vertical="center" wrapText="1"/>
    </xf>
    <xf borderId="57" fillId="17" fontId="30" numFmtId="0" xfId="0" applyAlignment="1" applyBorder="1" applyFill="1" applyFont="1">
      <alignment horizontal="center" readingOrder="0" shrinkToFit="0" textRotation="0" vertical="center" wrapText="1"/>
    </xf>
    <xf borderId="42" fillId="8" fontId="3" numFmtId="0" xfId="0" applyAlignment="1" applyBorder="1" applyFill="1" applyFont="1">
      <alignment horizontal="center" readingOrder="0" shrinkToFit="0" vertical="center" wrapText="1"/>
    </xf>
    <xf borderId="42" fillId="8" fontId="45" numFmtId="0" xfId="0" applyAlignment="1" applyBorder="1" applyFill="1" applyFont="1">
      <alignment horizontal="center" shrinkToFit="0" vertical="center" wrapText="1"/>
    </xf>
    <xf borderId="55" fillId="26" fontId="31" numFmtId="0" xfId="0" applyAlignment="1" applyBorder="1" applyFill="1" applyFont="1">
      <alignment horizontal="center" readingOrder="0" shrinkToFit="0" textRotation="0" vertical="center" wrapText="1"/>
    </xf>
    <xf borderId="42" fillId="8" fontId="34" numFmtId="0" xfId="0" applyAlignment="1" applyBorder="1" applyFill="1" applyFont="1">
      <alignment horizontal="center" shrinkToFit="0" vertical="center" wrapText="1"/>
    </xf>
    <xf borderId="57" fillId="22" fontId="30" numFmtId="0" xfId="0" applyAlignment="1" applyBorder="1" applyFill="1" applyFont="1">
      <alignment horizontal="center" readingOrder="0" shrinkToFit="0" textRotation="0" vertical="center" wrapText="1"/>
    </xf>
    <xf borderId="3" fillId="8" fontId="34" numFmtId="0" xfId="0" applyAlignment="1" applyBorder="1" applyFill="1" applyFont="1">
      <alignment horizontal="center" shrinkToFit="0" vertical="center" wrapText="1"/>
    </xf>
    <xf borderId="15" fillId="20" fontId="6" numFmtId="0" xfId="0" applyAlignment="1" applyBorder="1" applyFill="1" applyFont="1">
      <alignment horizontal="center" readingOrder="0" shrinkToFit="0" textRotation="0" vertical="center" wrapText="1"/>
    </xf>
    <xf borderId="3" fillId="8" fontId="46" numFmtId="0" xfId="0" applyAlignment="1" applyBorder="1" applyFill="1" applyFont="1">
      <alignment horizontal="center" shrinkToFit="0" vertical="center" wrapText="1"/>
    </xf>
    <xf borderId="3" fillId="8" fontId="9" numFmtId="0" xfId="0" applyAlignment="1" applyBorder="1" applyFill="1" applyFont="1">
      <alignment horizontal="center" shrinkToFit="0" vertical="center" wrapText="1"/>
    </xf>
    <xf borderId="15" fillId="26" fontId="47" numFmtId="0" xfId="0" applyAlignment="1" applyBorder="1" applyFill="1" applyFont="1">
      <alignment horizontal="center" shrinkToFit="0" textRotation="0" vertical="center" wrapText="1"/>
    </xf>
    <xf borderId="0" fillId="12" fontId="48" numFmtId="0" xfId="0" applyAlignment="1" applyFill="1" applyFont="1">
      <alignment horizontal="center" readingOrder="0" vertical="center"/>
    </xf>
    <xf borderId="55" fillId="15" fontId="31" numFmtId="0" xfId="0" applyAlignment="1" applyBorder="1" applyFill="1" applyFont="1">
      <alignment horizontal="center" readingOrder="0" shrinkToFit="0" textRotation="0" vertical="center" wrapText="1"/>
    </xf>
    <xf borderId="15" fillId="26" fontId="31" numFmtId="0" xfId="0" applyAlignment="1" applyBorder="1" applyFill="1" applyFont="1">
      <alignment horizontal="center" shrinkToFit="0" textRotation="0" vertical="center" wrapText="1"/>
    </xf>
    <xf borderId="51" fillId="0" fontId="6" numFmtId="0" xfId="0" applyAlignment="1" applyBorder="1" applyFont="1">
      <alignment horizontal="center" shrinkToFit="0" textRotation="0" vertical="center" wrapText="1"/>
    </xf>
    <xf borderId="78" fillId="0" fontId="6" numFmtId="0" xfId="0" applyAlignment="1" applyBorder="1" applyFont="1">
      <alignment horizontal="center" shrinkToFit="0" textRotation="0" vertical="center" wrapText="1"/>
    </xf>
    <xf borderId="0" fillId="6" fontId="49" numFmtId="0" xfId="0" applyAlignment="1" applyFill="1" applyFont="1">
      <alignment shrinkToFit="0" vertical="center" wrapText="1"/>
    </xf>
    <xf borderId="80" fillId="0" fontId="4" numFmtId="0" xfId="0" applyBorder="1" applyFont="1"/>
    <xf borderId="15" fillId="22" fontId="43" numFmtId="0" xfId="0" applyAlignment="1" applyBorder="1" applyFill="1" applyFont="1">
      <alignment horizontal="center" readingOrder="0" shrinkToFit="0" vertical="center" wrapText="1"/>
    </xf>
    <xf borderId="55" fillId="23" fontId="41" numFmtId="0" xfId="0" applyAlignment="1" applyBorder="1" applyFill="1" applyFont="1">
      <alignment horizontal="center" shrinkToFit="0" textRotation="0" vertical="center" wrapText="1"/>
    </xf>
    <xf borderId="0" fillId="27" fontId="50" numFmtId="0" xfId="0" applyAlignment="1" applyFill="1" applyFont="1">
      <alignment shrinkToFit="0" vertical="center" wrapText="1"/>
    </xf>
    <xf borderId="0" fillId="27" fontId="51" numFmtId="0" xfId="0" applyAlignment="1" applyFill="1" applyFont="1">
      <alignment readingOrder="0" shrinkToFit="0" vertical="center" wrapText="1"/>
    </xf>
    <xf borderId="55" fillId="28" fontId="43" numFmtId="0" xfId="0" applyAlignment="1" applyBorder="1" applyFill="1" applyFont="1">
      <alignment horizontal="center" readingOrder="0" shrinkToFit="0" vertical="center" wrapText="1"/>
    </xf>
    <xf borderId="81" fillId="29" fontId="52" numFmtId="0" xfId="0" applyAlignment="1" applyBorder="1" applyFill="1" applyFont="1">
      <alignment horizontal="center" readingOrder="0" shrinkToFit="0" vertical="center" wrapText="1"/>
    </xf>
    <xf borderId="82" fillId="0" fontId="4" numFmtId="0" xfId="0" applyBorder="1" applyFont="1"/>
    <xf borderId="83" fillId="0" fontId="4" numFmtId="0" xfId="0" applyBorder="1" applyFont="1"/>
    <xf borderId="15" fillId="30" fontId="53" numFmtId="0" xfId="0" applyAlignment="1" applyBorder="1" applyFill="1" applyFont="1">
      <alignment horizontal="center" readingOrder="0" shrinkToFit="0" vertical="center" wrapText="1"/>
    </xf>
    <xf borderId="84" fillId="0" fontId="4" numFmtId="0" xfId="0" applyBorder="1" applyFont="1"/>
    <xf borderId="48" fillId="0" fontId="31" numFmtId="0" xfId="0" applyAlignment="1" applyBorder="1" applyFont="1">
      <alignment horizontal="center" shrinkToFit="0" textRotation="0" vertical="center" wrapText="1"/>
    </xf>
    <xf borderId="84" fillId="29" fontId="52" numFmtId="0" xfId="0" applyAlignment="1" applyBorder="1" applyFill="1" applyFont="1">
      <alignment horizontal="center" readingOrder="0" shrinkToFit="0" vertical="center" wrapText="1"/>
    </xf>
    <xf borderId="85" fillId="0" fontId="4" numFmtId="0" xfId="0" applyBorder="1" applyFont="1"/>
    <xf borderId="86" fillId="0" fontId="4" numFmtId="0" xfId="0" applyBorder="1" applyFont="1"/>
    <xf borderId="87" fillId="0" fontId="4" numFmtId="0" xfId="0" applyBorder="1" applyFont="1"/>
    <xf borderId="57" fillId="20" fontId="6" numFmtId="0" xfId="0" applyAlignment="1" applyBorder="1" applyFill="1" applyFont="1">
      <alignment horizontal="center" readingOrder="0" shrinkToFit="0" textRotation="0" vertical="center" wrapText="1"/>
    </xf>
    <xf borderId="88" fillId="0" fontId="4" numFmtId="0" xfId="0" applyBorder="1" applyFont="1"/>
    <xf borderId="86" fillId="27" fontId="5" numFmtId="0" xfId="0" applyAlignment="1" applyBorder="1" applyFill="1" applyFont="1">
      <alignment shrinkToFit="0" vertical="center" wrapText="1"/>
    </xf>
    <xf borderId="15" fillId="19" fontId="30" numFmtId="0" xfId="0" applyAlignment="1" applyBorder="1" applyFill="1" applyFont="1">
      <alignment horizontal="center" readingOrder="0" shrinkToFit="0" textRotation="0" vertical="center" wrapText="1"/>
    </xf>
    <xf borderId="89" fillId="31" fontId="17" numFmtId="0" xfId="0" applyAlignment="1" applyBorder="1" applyFill="1" applyFont="1">
      <alignment horizontal="center" readingOrder="0" shrinkToFit="0" vertical="center" wrapText="1"/>
    </xf>
    <xf borderId="55" fillId="22" fontId="30" numFmtId="0" xfId="0" applyAlignment="1" applyBorder="1" applyFill="1" applyFont="1">
      <alignment horizontal="center" shrinkToFit="0" textRotation="0" vertical="center" wrapText="1"/>
    </xf>
    <xf borderId="0" fillId="31" fontId="17" numFmtId="0" xfId="0" applyAlignment="1" applyFill="1" applyFont="1">
      <alignment horizontal="center" readingOrder="0" shrinkToFit="0" vertical="center" wrapText="1"/>
    </xf>
    <xf borderId="48" fillId="0" fontId="47" numFmtId="0" xfId="0" applyAlignment="1" applyBorder="1" applyFont="1">
      <alignment horizontal="center" shrinkToFit="0" textRotation="0" vertical="center" wrapText="1"/>
    </xf>
    <xf borderId="90" fillId="27" fontId="54" numFmtId="0" xfId="0" applyAlignment="1" applyBorder="1" applyFill="1" applyFont="1">
      <alignment horizontal="center" readingOrder="0" shrinkToFit="0" vertical="center" wrapText="1"/>
    </xf>
    <xf borderId="91" fillId="0" fontId="4" numFmtId="0" xfId="0" applyBorder="1" applyFont="1"/>
    <xf borderId="78" fillId="20" fontId="6" numFmtId="0" xfId="0" applyAlignment="1" applyBorder="1" applyFill="1" applyFont="1">
      <alignment horizontal="center" readingOrder="0" shrinkToFit="0" textRotation="0" vertical="center" wrapText="1"/>
    </xf>
    <xf borderId="92" fillId="0" fontId="4" numFmtId="0" xfId="0" applyBorder="1" applyFont="1"/>
    <xf borderId="74" fillId="0" fontId="4" numFmtId="0" xfId="0" applyBorder="1" applyFont="1"/>
    <xf borderId="71" fillId="0" fontId="4" numFmtId="0" xfId="0" applyBorder="1" applyFont="1"/>
    <xf borderId="93" fillId="29" fontId="43" numFmtId="0" xfId="0" applyAlignment="1" applyBorder="1" applyFill="1" applyFont="1">
      <alignment horizontal="center" readingOrder="0" shrinkToFit="0" vertical="center" wrapText="1"/>
    </xf>
    <xf borderId="87" fillId="29" fontId="43" numFmtId="0" xfId="0" applyAlignment="1" applyBorder="1" applyFill="1" applyFont="1">
      <alignment horizontal="center" readingOrder="0" shrinkToFit="0" vertical="center" wrapText="1"/>
    </xf>
    <xf borderId="48" fillId="16" fontId="30" numFmtId="0" xfId="0" applyAlignment="1" applyBorder="1" applyFill="1" applyFont="1">
      <alignment horizontal="center" readingOrder="0" shrinkToFit="0" textRotation="0" vertical="center" wrapText="1"/>
    </xf>
    <xf borderId="0" fillId="29" fontId="43" numFmtId="0" xfId="0" applyAlignment="1" applyFill="1" applyFont="1">
      <alignment horizontal="center" readingOrder="0" shrinkToFit="0" vertical="center" wrapText="1"/>
    </xf>
    <xf borderId="0" fillId="0" fontId="30" numFmtId="0" xfId="0" applyAlignment="1" applyFont="1">
      <alignment horizontal="center" readingOrder="0" shrinkToFit="0" textRotation="0" vertical="center" wrapText="1"/>
    </xf>
    <xf borderId="93" fillId="32" fontId="55" numFmtId="46" xfId="0" applyAlignment="1" applyBorder="1" applyFill="1" applyFont="1" applyNumberFormat="1">
      <alignment horizontal="center" readingOrder="0" shrinkToFit="0" vertical="center" wrapText="1"/>
    </xf>
    <xf borderId="87" fillId="33" fontId="56" numFmtId="0" xfId="0" applyAlignment="1" applyBorder="1" applyFill="1" applyFont="1">
      <alignment horizontal="center" readingOrder="0" shrinkToFit="0" vertical="center" wrapText="1"/>
    </xf>
    <xf borderId="55" fillId="0" fontId="30" numFmtId="0" xfId="0" applyAlignment="1" applyBorder="1" applyFont="1">
      <alignment horizontal="center" readingOrder="0" shrinkToFit="0" textRotation="0" vertical="center" wrapText="1"/>
    </xf>
    <xf borderId="87" fillId="33" fontId="56" numFmtId="0" xfId="0" applyAlignment="1" applyBorder="1" applyFill="1" applyFont="1">
      <alignment horizontal="left" readingOrder="0" shrinkToFit="0" vertical="center" wrapText="1"/>
    </xf>
    <xf borderId="56" fillId="0" fontId="30" numFmtId="0" xfId="0" applyAlignment="1" applyBorder="1" applyFont="1">
      <alignment horizontal="center" readingOrder="0" shrinkToFit="0" textRotation="0" vertical="center" wrapText="1"/>
    </xf>
    <xf borderId="87" fillId="33" fontId="57" numFmtId="0" xfId="0" applyAlignment="1" applyBorder="1" applyFill="1" applyFont="1">
      <alignment horizontal="left" readingOrder="0" shrinkToFit="0" vertical="center" wrapText="1"/>
    </xf>
    <xf borderId="87" fillId="33" fontId="58" numFmtId="0" xfId="0" applyAlignment="1" applyBorder="1" applyFill="1" applyFont="1">
      <alignment horizontal="center" readingOrder="0" shrinkToFit="0" vertical="center" wrapText="1"/>
    </xf>
    <xf borderId="55" fillId="15" fontId="44" numFmtId="0" xfId="0" applyAlignment="1" applyBorder="1" applyFill="1" applyFont="1">
      <alignment horizontal="center" shrinkToFit="0" textRotation="0" vertical="center" wrapText="1"/>
    </xf>
    <xf borderId="87" fillId="33" fontId="56" numFmtId="0" xfId="0" applyAlignment="1" applyBorder="1" applyFill="1" applyFont="1">
      <alignment horizontal="left" shrinkToFit="0" vertical="center" wrapText="1"/>
    </xf>
    <xf borderId="94" fillId="0" fontId="5" numFmtId="0" xfId="0" applyAlignment="1" applyBorder="1" applyFont="1">
      <alignment horizontal="center" vertical="center"/>
    </xf>
    <xf borderId="88" fillId="33" fontId="57" numFmtId="0" xfId="0" applyAlignment="1" applyBorder="1" applyFill="1" applyFont="1">
      <alignment horizontal="left" shrinkToFit="0" vertical="center" wrapText="1"/>
    </xf>
    <xf borderId="88" fillId="33" fontId="58" numFmtId="0" xfId="0" applyAlignment="1" applyBorder="1" applyFill="1" applyFont="1">
      <alignment horizontal="center" readingOrder="0" shrinkToFit="0" vertical="center" wrapText="1"/>
    </xf>
    <xf borderId="94" fillId="0" fontId="6" numFmtId="0" xfId="0" applyAlignment="1" applyBorder="1" applyFont="1">
      <alignment horizontal="center" shrinkToFit="0" textRotation="0" vertical="center" wrapText="1"/>
    </xf>
    <xf borderId="37" fillId="0" fontId="5" numFmtId="0" xfId="0" applyAlignment="1" applyBorder="1" applyFont="1">
      <alignment horizontal="center" vertical="center"/>
    </xf>
    <xf borderId="59" fillId="0" fontId="6" numFmtId="0" xfId="0" applyAlignment="1" applyBorder="1" applyFont="1">
      <alignment horizontal="center" shrinkToFit="0" textRotation="0" vertical="center" wrapText="1"/>
    </xf>
    <xf borderId="42" fillId="0" fontId="5" numFmtId="0" xfId="0" applyAlignment="1" applyBorder="1" applyFont="1">
      <alignment horizontal="center" vertical="center"/>
    </xf>
    <xf borderId="86" fillId="29" fontId="55" numFmtId="46" xfId="0" applyAlignment="1" applyBorder="1" applyFill="1" applyFont="1" applyNumberFormat="1">
      <alignment horizontal="center" shrinkToFit="0" vertical="center" wrapText="1"/>
    </xf>
    <xf borderId="35" fillId="0" fontId="5" numFmtId="0" xfId="0" applyAlignment="1" applyBorder="1" applyFont="1">
      <alignment horizontal="center" vertical="center"/>
    </xf>
    <xf borderId="95" fillId="34" fontId="59" numFmtId="0" xfId="0" applyAlignment="1" applyBorder="1" applyFill="1" applyFont="1">
      <alignment horizontal="center" readingOrder="0" shrinkToFit="0" vertical="center" wrapText="1"/>
    </xf>
    <xf borderId="96" fillId="0" fontId="4" numFmtId="0" xfId="0" applyBorder="1" applyFont="1"/>
    <xf borderId="97" fillId="0" fontId="4" numFmtId="0" xfId="0" applyBorder="1" applyFont="1"/>
    <xf borderId="35" fillId="19" fontId="60" numFmtId="0" xfId="0" applyAlignment="1" applyBorder="1" applyFill="1" applyFont="1">
      <alignment horizontal="center" readingOrder="0" shrinkToFit="0" textRotation="0" vertical="center" wrapText="1"/>
    </xf>
    <xf borderId="0" fillId="27" fontId="5" numFmtId="0" xfId="0" applyAlignment="1" applyFill="1" applyFont="1">
      <alignment shrinkToFit="0" vertical="center" wrapText="1"/>
    </xf>
    <xf borderId="90" fillId="31" fontId="43" numFmtId="0" xfId="0" applyAlignment="1" applyBorder="1" applyFill="1" applyFont="1">
      <alignment horizontal="center" shrinkToFit="0" vertical="center" wrapText="1"/>
    </xf>
    <xf borderId="55" fillId="16" fontId="60" numFmtId="0" xfId="0" applyAlignment="1" applyBorder="1" applyFill="1" applyFont="1">
      <alignment horizontal="center" readingOrder="0" shrinkToFit="0" textRotation="0" vertical="center" wrapText="1"/>
    </xf>
    <xf borderId="98" fillId="27" fontId="54" numFmtId="0" xfId="0" applyAlignment="1" applyBorder="1" applyFill="1" applyFont="1">
      <alignment horizontal="center" shrinkToFit="0" vertical="center" wrapText="1"/>
    </xf>
    <xf borderId="99" fillId="0" fontId="4" numFmtId="0" xfId="0" applyBorder="1" applyFont="1"/>
    <xf borderId="98" fillId="27" fontId="54" numFmtId="0" xfId="0" applyAlignment="1" applyBorder="1" applyFill="1" applyFont="1">
      <alignment horizontal="center" readingOrder="0" shrinkToFit="0" vertical="center" wrapText="1"/>
    </xf>
    <xf borderId="100" fillId="0" fontId="4" numFmtId="0" xfId="0" applyBorder="1" applyFont="1"/>
    <xf borderId="101" fillId="0" fontId="4" numFmtId="0" xfId="0" applyBorder="1" applyFont="1"/>
    <xf borderId="102" fillId="0" fontId="4" numFmtId="0" xfId="0" applyBorder="1" applyFont="1"/>
    <xf borderId="103" fillId="0" fontId="4" numFmtId="0" xfId="0" applyBorder="1" applyFont="1"/>
    <xf borderId="15" fillId="22" fontId="43" numFmtId="0" xfId="0" applyAlignment="1" applyBorder="1" applyFill="1" applyFont="1">
      <alignment horizontal="center" readingOrder="0" shrinkToFit="0" vertical="center" wrapText="1"/>
    </xf>
    <xf borderId="104" fillId="0" fontId="4" numFmtId="0" xfId="0" applyBorder="1" applyFont="1"/>
    <xf borderId="105" fillId="0" fontId="4" numFmtId="0" xfId="0" applyBorder="1" applyFont="1"/>
    <xf borderId="3" fillId="0" fontId="6" numFmtId="0" xfId="0" applyAlignment="1" applyBorder="1" applyFont="1">
      <alignment horizontal="center" shrinkToFit="0" vertical="center" wrapText="1"/>
    </xf>
    <xf borderId="3" fillId="0" fontId="61" numFmtId="0" xfId="0" applyAlignment="1" applyBorder="1" applyFont="1">
      <alignment horizontal="center" shrinkToFit="0" vertical="center" wrapText="1"/>
    </xf>
    <xf borderId="88" fillId="33" fontId="57" numFmtId="0" xfId="0" applyAlignment="1" applyBorder="1" applyFill="1" applyFont="1">
      <alignment horizontal="left" readingOrder="0" shrinkToFit="0" vertical="center" wrapText="1"/>
    </xf>
  </cellXfs>
  <cellStyles count="1">
    <cellStyle xfId="0" name="Normal" builtinId="0"/>
  </cellStyles>
  <dxfs count="4">
    <dxf>
      <font/>
      <fill>
        <patternFill patternType="none"/>
      </fill>
      <border/>
    </dxf>
    <dxf>
      <font>
        <b/>
        <color rgb="FFFFFFFF"/>
      </font>
      <fill>
        <patternFill patternType="solid">
          <fgColor theme="7"/>
          <bgColor theme="7"/>
        </patternFill>
      </fill>
      <border/>
    </dxf>
    <dxf>
      <font>
        <b/>
        <color rgb="FFFFFFFF"/>
      </font>
      <fill>
        <patternFill patternType="solid">
          <fgColor rgb="FFDD0426"/>
          <bgColor rgb="FFDD0426"/>
        </patternFill>
      </fill>
      <border/>
    </dxf>
    <dxf>
      <font>
        <b/>
        <color rgb="FFFFFFFF"/>
      </font>
      <fill>
        <patternFill patternType="solid">
          <fgColor theme="6"/>
          <bgColor theme="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presentation/d/1osdtzntjXAM3QCZLMAMaNlsa3oJ4DzdSgxL9Cq_PbYI/edit?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91C1C"/>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5" width="5.88"/>
    <col customWidth="1" min="6" max="6" width="11.75"/>
    <col customWidth="1" min="7" max="7" width="33.25"/>
    <col customWidth="1" min="8" max="9" width="9.25"/>
    <col customWidth="1" min="10" max="14" width="12.88"/>
    <col customWidth="1" min="15" max="15" width="2.5"/>
  </cols>
  <sheetData>
    <row r="1" ht="28.5" customHeight="1">
      <c r="A1" s="3" t="s">
        <v>1</v>
      </c>
      <c r="B1" s="3"/>
      <c r="C1" s="3"/>
      <c r="D1" s="3"/>
      <c r="E1" s="3"/>
      <c r="F1" s="3"/>
      <c r="G1" s="7"/>
      <c r="H1" s="3"/>
      <c r="I1" s="11"/>
      <c r="J1" s="14"/>
      <c r="K1" s="11"/>
      <c r="L1" s="11"/>
      <c r="M1" s="11"/>
      <c r="N1" s="11"/>
      <c r="O1" s="18"/>
    </row>
    <row r="2" ht="19.5" customHeight="1">
      <c r="A2" s="29"/>
      <c r="B2" s="33" t="s">
        <v>9</v>
      </c>
      <c r="C2" s="34"/>
      <c r="D2" s="34"/>
      <c r="E2" s="34"/>
      <c r="F2" s="34"/>
      <c r="G2" s="34"/>
      <c r="H2" s="34"/>
      <c r="I2" s="34"/>
      <c r="J2" s="34"/>
      <c r="K2" s="34"/>
      <c r="L2" s="34"/>
      <c r="M2" s="34"/>
      <c r="N2" s="39"/>
      <c r="O2" s="18"/>
    </row>
    <row r="3" ht="19.5" customHeight="1">
      <c r="A3" s="42"/>
      <c r="B3" s="43"/>
      <c r="C3" s="44"/>
      <c r="D3" s="44"/>
      <c r="E3" s="44"/>
      <c r="F3" s="44"/>
      <c r="G3" s="44"/>
      <c r="H3" s="44"/>
      <c r="I3" s="44"/>
      <c r="J3" s="44"/>
      <c r="K3" s="44"/>
      <c r="L3" s="44"/>
      <c r="M3" s="44"/>
      <c r="N3" s="47"/>
      <c r="O3" s="50"/>
    </row>
    <row r="4" ht="19.5" customHeight="1">
      <c r="A4" s="54"/>
      <c r="B4" s="57"/>
      <c r="C4" s="57"/>
      <c r="D4" s="57"/>
      <c r="E4" s="57"/>
      <c r="F4" s="57"/>
      <c r="G4" s="57"/>
      <c r="H4" s="61"/>
      <c r="I4" s="63"/>
      <c r="J4" s="67"/>
      <c r="K4" s="67"/>
      <c r="L4" s="67"/>
      <c r="M4" s="67"/>
      <c r="N4" s="67"/>
      <c r="O4" s="50"/>
    </row>
    <row r="5" ht="19.5" customHeight="1">
      <c r="A5" s="42"/>
      <c r="B5" s="73" t="s">
        <v>34</v>
      </c>
      <c r="C5" s="76"/>
      <c r="D5" s="76"/>
      <c r="E5" s="76"/>
      <c r="F5" s="76"/>
      <c r="G5" s="76"/>
      <c r="H5" s="76"/>
      <c r="I5" s="76"/>
      <c r="J5" s="76"/>
      <c r="K5" s="76"/>
      <c r="L5" s="76"/>
      <c r="M5" s="76"/>
      <c r="N5" s="79"/>
      <c r="O5" s="50"/>
    </row>
    <row r="6" ht="19.5" customHeight="1">
      <c r="A6" s="54"/>
      <c r="B6" s="84" t="s">
        <v>39</v>
      </c>
      <c r="C6" s="87"/>
      <c r="D6" s="87"/>
      <c r="E6" s="87"/>
      <c r="F6" s="87"/>
      <c r="G6" s="87"/>
      <c r="H6" s="87"/>
      <c r="I6" s="87"/>
      <c r="J6" s="87"/>
      <c r="K6" s="87"/>
      <c r="L6" s="87"/>
      <c r="M6" s="87"/>
      <c r="N6" s="90"/>
      <c r="O6" s="50"/>
    </row>
    <row r="7" ht="19.5" customHeight="1">
      <c r="A7" s="42"/>
      <c r="B7" s="93"/>
      <c r="C7" s="93"/>
      <c r="D7" s="93"/>
      <c r="E7" s="93"/>
      <c r="F7" s="93"/>
      <c r="G7" s="93"/>
      <c r="H7" s="97"/>
      <c r="I7" s="101"/>
      <c r="J7" s="105"/>
      <c r="K7" s="105"/>
      <c r="L7" s="105"/>
      <c r="M7" s="105"/>
      <c r="N7" s="105"/>
      <c r="O7" s="107"/>
    </row>
    <row r="8" ht="19.5" customHeight="1">
      <c r="A8" s="54"/>
      <c r="B8" s="113" t="s">
        <v>73</v>
      </c>
      <c r="C8" s="34"/>
      <c r="D8" s="39"/>
      <c r="E8" s="115" t="s">
        <v>83</v>
      </c>
      <c r="F8" s="90"/>
      <c r="G8" s="119" t="s">
        <v>87</v>
      </c>
      <c r="H8" s="87"/>
      <c r="I8" s="87"/>
      <c r="J8" s="87"/>
      <c r="K8" s="87"/>
      <c r="L8" s="87"/>
      <c r="M8" s="87"/>
      <c r="N8" s="90"/>
      <c r="O8" s="107"/>
    </row>
    <row r="9" ht="19.5" customHeight="1">
      <c r="A9" s="42"/>
      <c r="B9" s="123"/>
      <c r="D9" s="124"/>
      <c r="E9" s="126" t="s">
        <v>8</v>
      </c>
      <c r="F9" s="128" t="s">
        <v>100</v>
      </c>
      <c r="G9" s="130" t="s">
        <v>104</v>
      </c>
      <c r="H9" s="137" t="s">
        <v>107</v>
      </c>
      <c r="I9" s="76"/>
      <c r="J9" s="76"/>
      <c r="K9" s="76"/>
      <c r="L9" s="76"/>
      <c r="M9" s="76"/>
      <c r="N9" s="79"/>
      <c r="O9" s="107"/>
    </row>
    <row r="10" ht="19.5" customHeight="1">
      <c r="A10" s="54"/>
      <c r="B10" s="140"/>
      <c r="D10" s="143"/>
      <c r="E10" s="147" t="s">
        <v>21</v>
      </c>
      <c r="F10" s="151" t="s">
        <v>114</v>
      </c>
      <c r="G10" s="153" t="s">
        <v>119</v>
      </c>
      <c r="H10" s="157" t="s">
        <v>128</v>
      </c>
      <c r="I10" s="87"/>
      <c r="J10" s="87"/>
      <c r="K10" s="87"/>
      <c r="L10" s="87"/>
      <c r="M10" s="87"/>
      <c r="N10" s="90"/>
      <c r="O10" s="107"/>
    </row>
    <row r="11" ht="19.5" customHeight="1">
      <c r="A11" s="42"/>
      <c r="B11" s="43"/>
      <c r="C11" s="44"/>
      <c r="D11" s="47"/>
      <c r="E11" s="160" t="s">
        <v>22</v>
      </c>
      <c r="F11" s="162" t="s">
        <v>136</v>
      </c>
      <c r="G11" s="164" t="s">
        <v>137</v>
      </c>
      <c r="H11" s="168" t="s">
        <v>144</v>
      </c>
      <c r="I11" s="76"/>
      <c r="J11" s="76"/>
      <c r="K11" s="76"/>
      <c r="L11" s="76"/>
      <c r="M11" s="76"/>
      <c r="N11" s="79"/>
      <c r="O11" s="107"/>
    </row>
    <row r="12" ht="19.5" customHeight="1">
      <c r="A12" s="54"/>
      <c r="B12" s="57"/>
      <c r="C12" s="57"/>
      <c r="D12" s="57"/>
      <c r="E12" s="57"/>
      <c r="F12" s="57"/>
      <c r="G12" s="57"/>
      <c r="H12" s="172"/>
      <c r="I12" s="174"/>
      <c r="J12" s="175"/>
      <c r="K12" s="175"/>
      <c r="L12" s="175"/>
      <c r="M12" s="175"/>
      <c r="N12" s="175"/>
      <c r="O12" s="107"/>
    </row>
    <row r="13" ht="19.5" customHeight="1">
      <c r="A13" s="42"/>
      <c r="B13" s="179" t="s">
        <v>150</v>
      </c>
      <c r="C13" s="76"/>
      <c r="D13" s="79"/>
      <c r="E13" s="181" t="s">
        <v>151</v>
      </c>
      <c r="F13" s="76"/>
      <c r="G13" s="76"/>
      <c r="H13" s="76"/>
      <c r="I13" s="76"/>
      <c r="J13" s="76"/>
      <c r="K13" s="76"/>
      <c r="L13" s="76"/>
      <c r="M13" s="76"/>
      <c r="N13" s="79"/>
      <c r="O13" s="107"/>
    </row>
    <row r="14">
      <c r="A14" s="184"/>
      <c r="B14" s="186"/>
      <c r="C14" s="186"/>
      <c r="D14" s="186"/>
      <c r="E14" s="186"/>
      <c r="F14" s="186"/>
      <c r="G14" s="187"/>
      <c r="H14" s="189"/>
      <c r="I14" s="191"/>
      <c r="J14" s="193"/>
      <c r="K14" s="191"/>
      <c r="L14" s="191"/>
      <c r="M14" s="191"/>
      <c r="N14" s="191"/>
      <c r="O14" s="194"/>
    </row>
  </sheetData>
  <mergeCells count="11">
    <mergeCell ref="H10:N10"/>
    <mergeCell ref="H11:N11"/>
    <mergeCell ref="B13:D13"/>
    <mergeCell ref="E13:N13"/>
    <mergeCell ref="B2:N3"/>
    <mergeCell ref="B5:N5"/>
    <mergeCell ref="B6:N6"/>
    <mergeCell ref="B8:D11"/>
    <mergeCell ref="E8:F8"/>
    <mergeCell ref="G8:N8"/>
    <mergeCell ref="H9:N9"/>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4ED8"/>
    <outlinePr summaryBelow="0" summaryRight="0"/>
  </sheetPr>
  <sheetViews>
    <sheetView workbookViewId="0"/>
  </sheetViews>
  <sheetFormatPr customHeight="1" defaultColWidth="12.63" defaultRowHeight="15.75"/>
  <cols>
    <col customWidth="1" min="1" max="1" width="2.13"/>
  </cols>
  <sheetData>
    <row r="1">
      <c r="A1" s="1"/>
      <c r="B1" s="1"/>
      <c r="C1" s="1"/>
      <c r="D1" s="1"/>
      <c r="E1" s="1"/>
      <c r="F1" s="1"/>
      <c r="G1" s="1"/>
      <c r="H1" s="1"/>
      <c r="I1" s="1"/>
    </row>
    <row r="2">
      <c r="A2" s="1"/>
      <c r="B2" s="6" t="s">
        <v>2</v>
      </c>
      <c r="C2" s="8"/>
      <c r="D2" s="8"/>
      <c r="E2" s="8"/>
      <c r="F2" s="8"/>
      <c r="G2" s="8"/>
      <c r="H2" s="10"/>
      <c r="I2" s="12" t="s">
        <v>4</v>
      </c>
    </row>
    <row r="3">
      <c r="A3" s="1"/>
      <c r="B3" s="16"/>
      <c r="C3" s="17"/>
      <c r="D3" s="17"/>
      <c r="E3" s="17"/>
      <c r="F3" s="17"/>
      <c r="G3" s="17"/>
      <c r="H3" s="20"/>
      <c r="I3" s="23"/>
    </row>
    <row r="4">
      <c r="A4" s="1"/>
      <c r="B4" s="26">
        <v>0.6666666666666666</v>
      </c>
      <c r="C4" s="37">
        <f t="shared" ref="C4:C13" si="1">B4+D4</f>
        <v>0.6875</v>
      </c>
      <c r="D4" s="46">
        <v>0.020833333333333332</v>
      </c>
      <c r="E4" s="51" t="s">
        <v>25</v>
      </c>
      <c r="F4" s="52"/>
      <c r="G4" s="52"/>
      <c r="H4" s="55"/>
      <c r="I4" s="58" t="s">
        <v>27</v>
      </c>
    </row>
    <row r="5">
      <c r="A5" s="1"/>
      <c r="B5" s="64">
        <f t="shared" ref="B5:B13" si="2">C4</f>
        <v>0.6875</v>
      </c>
      <c r="C5" s="70">
        <f t="shared" si="1"/>
        <v>0.6909722222</v>
      </c>
      <c r="D5" s="74">
        <v>0.003472222222222222</v>
      </c>
      <c r="E5" s="78" t="s">
        <v>37</v>
      </c>
      <c r="F5" s="80"/>
      <c r="G5" s="80"/>
      <c r="H5" s="83"/>
      <c r="I5" s="86" t="s">
        <v>43</v>
      </c>
    </row>
    <row r="6">
      <c r="A6" s="1"/>
      <c r="B6" s="92">
        <f t="shared" si="2"/>
        <v>0.6909722222</v>
      </c>
      <c r="C6" s="96">
        <f t="shared" si="1"/>
        <v>0.6909722222</v>
      </c>
      <c r="D6" s="53"/>
      <c r="E6" s="98"/>
      <c r="F6" s="100"/>
      <c r="G6" s="100"/>
      <c r="H6" s="103"/>
      <c r="I6" s="104"/>
    </row>
    <row r="7">
      <c r="A7" s="1"/>
      <c r="B7" s="64">
        <f t="shared" si="2"/>
        <v>0.6909722222</v>
      </c>
      <c r="C7" s="70">
        <f t="shared" si="1"/>
        <v>0.6944444444</v>
      </c>
      <c r="D7" s="108">
        <v>0.003472222222222222</v>
      </c>
      <c r="E7" s="111" t="s">
        <v>75</v>
      </c>
      <c r="F7" s="52"/>
      <c r="G7" s="52"/>
      <c r="H7" s="55"/>
      <c r="I7" s="86" t="s">
        <v>43</v>
      </c>
    </row>
    <row r="8">
      <c r="A8" s="1"/>
      <c r="B8" s="92">
        <f t="shared" si="2"/>
        <v>0.6944444444</v>
      </c>
      <c r="C8" s="96">
        <f t="shared" si="1"/>
        <v>0.7013888889</v>
      </c>
      <c r="D8" s="116">
        <v>0.006944444444444444</v>
      </c>
      <c r="E8" s="51" t="s">
        <v>88</v>
      </c>
      <c r="F8" s="52"/>
      <c r="G8" s="52"/>
      <c r="H8" s="55"/>
      <c r="I8" s="121" t="s">
        <v>43</v>
      </c>
    </row>
    <row r="9">
      <c r="A9" s="1"/>
      <c r="B9" s="64">
        <f t="shared" si="2"/>
        <v>0.7013888889</v>
      </c>
      <c r="C9" s="70">
        <f t="shared" si="1"/>
        <v>0.7048611111</v>
      </c>
      <c r="D9" s="108">
        <v>0.003472222222222222</v>
      </c>
      <c r="E9" s="111" t="s">
        <v>93</v>
      </c>
      <c r="F9" s="52"/>
      <c r="G9" s="52"/>
      <c r="H9" s="55"/>
      <c r="I9" s="86" t="s">
        <v>43</v>
      </c>
    </row>
    <row r="10">
      <c r="A10" s="1"/>
      <c r="B10" s="92">
        <f t="shared" si="2"/>
        <v>0.7048611111</v>
      </c>
      <c r="C10" s="96">
        <f t="shared" si="1"/>
        <v>0.7256944444</v>
      </c>
      <c r="D10" s="116">
        <v>0.020833333333333332</v>
      </c>
      <c r="E10" s="51" t="s">
        <v>99</v>
      </c>
      <c r="F10" s="52"/>
      <c r="G10" s="52"/>
      <c r="H10" s="55"/>
      <c r="I10" s="121" t="s">
        <v>27</v>
      </c>
    </row>
    <row r="11">
      <c r="A11" s="1"/>
      <c r="B11" s="64">
        <f t="shared" si="2"/>
        <v>0.7256944444</v>
      </c>
      <c r="C11" s="70">
        <f t="shared" si="1"/>
        <v>0.75</v>
      </c>
      <c r="D11" s="108">
        <v>0.024305555555555556</v>
      </c>
      <c r="E11" s="111" t="s">
        <v>101</v>
      </c>
      <c r="F11" s="52"/>
      <c r="G11" s="52"/>
      <c r="H11" s="55"/>
      <c r="I11" s="86" t="s">
        <v>103</v>
      </c>
    </row>
    <row r="12">
      <c r="A12" s="1"/>
      <c r="B12" s="92">
        <f t="shared" si="2"/>
        <v>0.75</v>
      </c>
      <c r="C12" s="96">
        <f t="shared" si="1"/>
        <v>0.7604166667</v>
      </c>
      <c r="D12" s="116">
        <v>0.010416666666666666</v>
      </c>
      <c r="E12" s="51" t="s">
        <v>105</v>
      </c>
      <c r="F12" s="52"/>
      <c r="G12" s="52"/>
      <c r="H12" s="55"/>
      <c r="I12" s="121" t="s">
        <v>43</v>
      </c>
    </row>
    <row r="13">
      <c r="A13" s="1"/>
      <c r="B13" s="132">
        <f t="shared" si="2"/>
        <v>0.7604166667</v>
      </c>
      <c r="C13" s="135">
        <f t="shared" si="1"/>
        <v>0.7708333333</v>
      </c>
      <c r="D13" s="138">
        <v>0.010416666666666666</v>
      </c>
      <c r="E13" s="142" t="s">
        <v>110</v>
      </c>
      <c r="F13" s="145"/>
      <c r="G13" s="145"/>
      <c r="H13" s="146"/>
      <c r="I13" s="149" t="s">
        <v>43</v>
      </c>
    </row>
  </sheetData>
  <mergeCells count="13">
    <mergeCell ref="E8:H8"/>
    <mergeCell ref="E9:H9"/>
    <mergeCell ref="E10:H10"/>
    <mergeCell ref="E11:H11"/>
    <mergeCell ref="E12:H12"/>
    <mergeCell ref="E13:H13"/>
    <mergeCell ref="B2:H3"/>
    <mergeCell ref="I2:I3"/>
    <mergeCell ref="E4:H4"/>
    <mergeCell ref="D5:D6"/>
    <mergeCell ref="E5:H6"/>
    <mergeCell ref="I5:I6"/>
    <mergeCell ref="E7:H7"/>
  </mergeCells>
  <dataValidations>
    <dataValidation type="list" allowBlank="1" showErrorMessage="1" sqref="D4:D5 D7:D13">
      <formula1>"0:05,0:10,0:15,0:20,0:25,0:30,0:35,0:40,0:45"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7706"/>
    <outlinePr summaryBelow="0" summaryRight="0"/>
    <pageSetUpPr fitToPage="1"/>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38"/>
    <col customWidth="1" min="4" max="4" width="1.63"/>
    <col customWidth="1" min="9" max="9" width="1.75"/>
    <col customWidth="1" min="12" max="12" width="17.75"/>
    <col customWidth="1" min="16" max="16" width="1.5"/>
    <col customWidth="1" min="18" max="18" width="17.63"/>
    <col customWidth="1" min="19" max="19" width="27.75"/>
    <col customWidth="1" min="20" max="20" width="31.5"/>
    <col customWidth="1" min="21" max="22" width="3.75"/>
  </cols>
  <sheetData>
    <row r="1" ht="18.75" customHeight="1">
      <c r="A1" s="5" t="s">
        <v>0</v>
      </c>
      <c r="B1" s="9"/>
      <c r="C1" s="9"/>
      <c r="D1" s="9"/>
      <c r="E1" s="9"/>
      <c r="F1" s="9"/>
      <c r="G1" s="9"/>
      <c r="H1" s="9"/>
      <c r="I1" s="9"/>
      <c r="J1" s="9"/>
      <c r="K1" s="9"/>
      <c r="L1" s="9"/>
      <c r="M1" s="9"/>
      <c r="N1" s="9"/>
      <c r="O1" s="9"/>
      <c r="P1" s="9"/>
      <c r="Q1" s="9"/>
      <c r="R1" s="9"/>
      <c r="S1" s="9"/>
      <c r="T1" s="13"/>
      <c r="U1" s="9"/>
      <c r="V1" s="15"/>
    </row>
    <row r="2">
      <c r="A2" s="21" t="s">
        <v>5</v>
      </c>
      <c r="B2" s="25" t="s">
        <v>6</v>
      </c>
      <c r="C2" s="27"/>
      <c r="D2" s="28"/>
      <c r="E2" s="32" t="s">
        <v>8</v>
      </c>
      <c r="F2" s="35"/>
      <c r="G2" s="35"/>
      <c r="H2" s="38"/>
      <c r="I2" s="28"/>
      <c r="J2" s="41" t="s">
        <v>21</v>
      </c>
      <c r="K2" s="35"/>
      <c r="L2" s="35"/>
      <c r="M2" s="35"/>
      <c r="N2" s="35"/>
      <c r="O2" s="38"/>
      <c r="P2" s="28"/>
      <c r="Q2" s="45" t="s">
        <v>22</v>
      </c>
      <c r="R2" s="35"/>
      <c r="S2" s="35"/>
      <c r="T2" s="38"/>
      <c r="U2" s="9"/>
      <c r="V2" s="15"/>
    </row>
    <row r="3">
      <c r="A3" s="48" t="s">
        <v>23</v>
      </c>
      <c r="B3" s="53"/>
      <c r="C3" s="56"/>
      <c r="D3" s="59"/>
      <c r="E3" s="62" t="s">
        <v>28</v>
      </c>
      <c r="F3" s="35"/>
      <c r="G3" s="35"/>
      <c r="H3" s="38"/>
      <c r="I3" s="59"/>
      <c r="J3" s="66" t="s">
        <v>31</v>
      </c>
      <c r="K3" s="68"/>
      <c r="L3" s="71" t="s">
        <v>33</v>
      </c>
      <c r="M3" s="68"/>
      <c r="N3" s="68"/>
      <c r="O3" s="68"/>
      <c r="P3" s="75"/>
      <c r="Q3" s="66" t="s">
        <v>31</v>
      </c>
      <c r="R3" s="68"/>
      <c r="S3" s="71" t="s">
        <v>38</v>
      </c>
      <c r="T3" s="68"/>
      <c r="U3" s="68"/>
      <c r="V3" s="68"/>
    </row>
    <row r="4">
      <c r="A4" s="9"/>
      <c r="B4" s="81">
        <v>0.3333333333333333</v>
      </c>
      <c r="C4" s="81">
        <v>0.34375</v>
      </c>
      <c r="D4" s="9"/>
      <c r="E4" s="88" t="s">
        <v>41</v>
      </c>
      <c r="F4" s="68"/>
      <c r="G4" s="68"/>
      <c r="H4" s="27"/>
      <c r="I4" s="13"/>
      <c r="J4" s="91" t="s">
        <v>45</v>
      </c>
      <c r="K4" s="94"/>
      <c r="L4" s="94"/>
      <c r="M4" s="94"/>
      <c r="N4" s="94"/>
      <c r="O4" s="95"/>
      <c r="P4" s="99"/>
      <c r="Q4" s="91" t="s">
        <v>45</v>
      </c>
      <c r="R4" s="94"/>
      <c r="S4" s="94"/>
      <c r="T4" s="95"/>
      <c r="U4" s="9"/>
      <c r="V4" s="15"/>
    </row>
    <row r="5">
      <c r="A5" s="9"/>
      <c r="B5" s="106">
        <v>0.34375</v>
      </c>
      <c r="C5" s="106">
        <v>0.3541666666666667</v>
      </c>
      <c r="D5" s="9"/>
      <c r="E5" s="109"/>
      <c r="H5" s="110"/>
      <c r="I5" s="13"/>
      <c r="J5" s="112"/>
      <c r="O5" s="114"/>
      <c r="P5" s="99"/>
      <c r="Q5" s="112"/>
      <c r="T5" s="114"/>
      <c r="U5" s="9"/>
      <c r="V5" s="15"/>
    </row>
    <row r="6">
      <c r="A6" s="9"/>
      <c r="B6" s="81">
        <v>0.3541666666666667</v>
      </c>
      <c r="C6" s="81">
        <v>0.3645833333333333</v>
      </c>
      <c r="D6" s="9"/>
      <c r="E6" s="109"/>
      <c r="H6" s="110"/>
      <c r="I6" s="13"/>
      <c r="J6" s="112"/>
      <c r="O6" s="114"/>
      <c r="P6" s="99"/>
      <c r="Q6" s="112"/>
      <c r="T6" s="114"/>
      <c r="U6" s="9"/>
      <c r="V6" s="15"/>
    </row>
    <row r="7">
      <c r="A7" s="9"/>
      <c r="B7" s="106">
        <v>0.3645833333333333</v>
      </c>
      <c r="C7" s="106">
        <v>0.375</v>
      </c>
      <c r="D7" s="9"/>
      <c r="E7" s="109"/>
      <c r="H7" s="110"/>
      <c r="I7" s="13"/>
      <c r="J7" s="112"/>
      <c r="O7" s="114"/>
      <c r="P7" s="99"/>
      <c r="Q7" s="112"/>
      <c r="T7" s="114"/>
      <c r="U7" s="9"/>
      <c r="V7" s="15"/>
    </row>
    <row r="8">
      <c r="A8" s="9"/>
      <c r="B8" s="81">
        <v>0.375</v>
      </c>
      <c r="C8" s="81">
        <v>0.3854166666666667</v>
      </c>
      <c r="D8" s="9"/>
      <c r="E8" s="109"/>
      <c r="H8" s="110"/>
      <c r="I8" s="13"/>
      <c r="J8" s="112"/>
      <c r="O8" s="114"/>
      <c r="P8" s="99"/>
      <c r="Q8" s="112"/>
      <c r="T8" s="114"/>
      <c r="U8" s="9"/>
      <c r="V8" s="15"/>
    </row>
    <row r="9">
      <c r="A9" s="9"/>
      <c r="B9" s="106">
        <v>0.3854166666666667</v>
      </c>
      <c r="C9" s="106">
        <v>0.3958333333333333</v>
      </c>
      <c r="D9" s="9"/>
      <c r="E9" s="109"/>
      <c r="H9" s="110"/>
      <c r="I9" s="13"/>
      <c r="J9" s="117"/>
      <c r="K9" s="120"/>
      <c r="L9" s="120"/>
      <c r="M9" s="120"/>
      <c r="N9" s="120"/>
      <c r="O9" s="122"/>
      <c r="P9" s="99"/>
      <c r="Q9" s="117"/>
      <c r="R9" s="120"/>
      <c r="S9" s="120"/>
      <c r="T9" s="122"/>
      <c r="U9" s="9"/>
      <c r="V9" s="15"/>
    </row>
    <row r="10">
      <c r="A10" s="9"/>
      <c r="B10" s="81">
        <v>0.3958333333333333</v>
      </c>
      <c r="C10" s="81">
        <v>0.40625</v>
      </c>
      <c r="D10" s="9"/>
      <c r="E10" s="109"/>
      <c r="H10" s="110"/>
      <c r="I10" s="13"/>
      <c r="J10" s="125" t="s">
        <v>95</v>
      </c>
      <c r="K10" s="94"/>
      <c r="L10" s="94"/>
      <c r="M10" s="94"/>
      <c r="N10" s="94"/>
      <c r="O10" s="95"/>
      <c r="P10" s="99"/>
      <c r="Q10" s="125" t="s">
        <v>95</v>
      </c>
      <c r="R10" s="94"/>
      <c r="S10" s="94"/>
      <c r="T10" s="94"/>
      <c r="U10" s="9"/>
      <c r="V10" s="15"/>
    </row>
    <row r="11">
      <c r="A11" s="9"/>
      <c r="B11" s="106">
        <v>0.40625</v>
      </c>
      <c r="C11" s="106">
        <v>0.4166666666666667</v>
      </c>
      <c r="D11" s="9"/>
      <c r="E11" s="109"/>
      <c r="H11" s="110"/>
      <c r="I11" s="13"/>
      <c r="J11" s="112"/>
      <c r="O11" s="114"/>
      <c r="P11" s="99"/>
      <c r="Q11" s="112"/>
      <c r="U11" s="9"/>
      <c r="V11" s="15"/>
    </row>
    <row r="12">
      <c r="A12" s="9"/>
      <c r="B12" s="81">
        <v>0.4166666666666667</v>
      </c>
      <c r="C12" s="81">
        <v>0.4270833333333333</v>
      </c>
      <c r="D12" s="9"/>
      <c r="E12" s="109"/>
      <c r="H12" s="110"/>
      <c r="I12" s="13"/>
      <c r="J12" s="112"/>
      <c r="O12" s="114"/>
      <c r="P12" s="99"/>
      <c r="Q12" s="112"/>
      <c r="U12" s="9"/>
      <c r="V12" s="15"/>
    </row>
    <row r="13">
      <c r="A13" s="9"/>
      <c r="B13" s="106">
        <v>0.4270833333333333</v>
      </c>
      <c r="C13" s="106">
        <v>0.4375</v>
      </c>
      <c r="D13" s="9"/>
      <c r="E13" s="109"/>
      <c r="H13" s="110"/>
      <c r="I13" s="13"/>
      <c r="J13" s="117"/>
      <c r="K13" s="120"/>
      <c r="L13" s="120"/>
      <c r="M13" s="120"/>
      <c r="N13" s="120"/>
      <c r="O13" s="122"/>
      <c r="P13" s="99"/>
      <c r="Q13" s="117"/>
      <c r="R13" s="120"/>
      <c r="S13" s="120"/>
      <c r="T13" s="120"/>
      <c r="U13" s="9"/>
      <c r="V13" s="15"/>
    </row>
    <row r="14" ht="27.0" customHeight="1">
      <c r="A14" s="9"/>
      <c r="B14" s="81">
        <v>0.4375</v>
      </c>
      <c r="C14" s="81">
        <v>0.4479166666666667</v>
      </c>
      <c r="D14" s="9"/>
      <c r="E14" s="109"/>
      <c r="H14" s="110"/>
      <c r="I14" s="13"/>
      <c r="J14" s="131" t="s">
        <v>81</v>
      </c>
      <c r="K14" s="94"/>
      <c r="L14" s="94"/>
      <c r="M14" s="94"/>
      <c r="N14" s="94"/>
      <c r="O14" s="95"/>
      <c r="P14" s="99"/>
      <c r="Q14" s="134" t="s">
        <v>106</v>
      </c>
      <c r="R14" s="94"/>
      <c r="S14" s="94"/>
      <c r="T14" s="95"/>
      <c r="U14" s="9"/>
      <c r="V14" s="15"/>
    </row>
    <row r="15">
      <c r="A15" s="9"/>
      <c r="B15" s="106">
        <v>0.4479166666666667</v>
      </c>
      <c r="C15" s="106">
        <v>0.4583333333333333</v>
      </c>
      <c r="D15" s="9"/>
      <c r="E15" s="109"/>
      <c r="H15" s="110"/>
      <c r="I15" s="13"/>
      <c r="J15" s="112"/>
      <c r="O15" s="114"/>
      <c r="P15" s="99"/>
      <c r="Q15" s="112"/>
      <c r="T15" s="114"/>
      <c r="U15" s="9"/>
      <c r="V15" s="15"/>
    </row>
    <row r="16">
      <c r="A16" s="9"/>
      <c r="B16" s="81">
        <v>0.4583333333333333</v>
      </c>
      <c r="C16" s="81">
        <v>0.46875</v>
      </c>
      <c r="D16" s="9"/>
      <c r="E16" s="109"/>
      <c r="H16" s="110"/>
      <c r="I16" s="13"/>
      <c r="J16" s="117"/>
      <c r="K16" s="120"/>
      <c r="L16" s="120"/>
      <c r="M16" s="120"/>
      <c r="N16" s="120"/>
      <c r="O16" s="122"/>
      <c r="P16" s="99"/>
      <c r="Q16" s="112"/>
      <c r="T16" s="114"/>
      <c r="U16" s="9"/>
      <c r="V16" s="15"/>
    </row>
    <row r="17">
      <c r="A17" s="9"/>
      <c r="B17" s="106">
        <v>0.46875</v>
      </c>
      <c r="C17" s="106">
        <v>0.4791666666666667</v>
      </c>
      <c r="D17" s="9"/>
      <c r="E17" s="109"/>
      <c r="H17" s="110"/>
      <c r="I17" s="13"/>
      <c r="J17" s="141" t="s">
        <v>109</v>
      </c>
      <c r="K17" s="94"/>
      <c r="L17" s="94"/>
      <c r="M17" s="94"/>
      <c r="N17" s="94"/>
      <c r="O17" s="95"/>
      <c r="P17" s="99"/>
      <c r="Q17" s="141" t="s">
        <v>109</v>
      </c>
      <c r="R17" s="94"/>
      <c r="S17" s="94"/>
      <c r="T17" s="95"/>
      <c r="U17" s="9"/>
      <c r="V17" s="15"/>
    </row>
    <row r="18">
      <c r="A18" s="9"/>
      <c r="B18" s="81">
        <v>0.4791666666666667</v>
      </c>
      <c r="C18" s="81">
        <v>0.4895833333333333</v>
      </c>
      <c r="D18" s="9"/>
      <c r="E18" s="109"/>
      <c r="H18" s="110"/>
      <c r="I18" s="13"/>
      <c r="J18" s="148" t="s">
        <v>86</v>
      </c>
      <c r="K18" s="80"/>
      <c r="L18" s="80"/>
      <c r="M18" s="80"/>
      <c r="N18" s="80"/>
      <c r="O18" s="150"/>
      <c r="P18" s="152"/>
      <c r="Q18" s="112"/>
      <c r="T18" s="114"/>
      <c r="U18" s="154"/>
      <c r="V18" s="15"/>
    </row>
    <row r="19" ht="18.75" customHeight="1">
      <c r="A19" s="9"/>
      <c r="B19" s="106">
        <v>0.4895833333333333</v>
      </c>
      <c r="C19" s="106">
        <v>0.5</v>
      </c>
      <c r="D19" s="9"/>
      <c r="E19" s="109"/>
      <c r="H19" s="110"/>
      <c r="I19" s="13"/>
      <c r="J19" s="155"/>
      <c r="O19" s="156"/>
      <c r="P19" s="158"/>
      <c r="Q19" s="159" t="s">
        <v>131</v>
      </c>
      <c r="R19" s="68"/>
      <c r="S19" s="68"/>
      <c r="T19" s="27"/>
      <c r="U19" s="154"/>
      <c r="V19" s="15"/>
    </row>
    <row r="20" ht="18.75" customHeight="1">
      <c r="A20" s="9"/>
      <c r="B20" s="81">
        <v>0.5</v>
      </c>
      <c r="C20" s="81">
        <v>0.5104166666666666</v>
      </c>
      <c r="D20" s="9"/>
      <c r="E20" s="109"/>
      <c r="H20" s="110"/>
      <c r="I20" s="13"/>
      <c r="J20" s="155"/>
      <c r="O20" s="156"/>
      <c r="P20" s="158"/>
      <c r="Q20" s="109"/>
      <c r="T20" s="110"/>
      <c r="U20" s="154"/>
      <c r="V20" s="15"/>
    </row>
    <row r="21" ht="16.5" customHeight="1">
      <c r="A21" s="9"/>
      <c r="B21" s="106">
        <v>0.5104166666666666</v>
      </c>
      <c r="C21" s="106">
        <v>0.5208333333333334</v>
      </c>
      <c r="D21" s="9"/>
      <c r="E21" s="109"/>
      <c r="H21" s="110"/>
      <c r="I21" s="13"/>
      <c r="J21" s="155"/>
      <c r="O21" s="156"/>
      <c r="P21" s="158"/>
      <c r="Q21" s="109"/>
      <c r="T21" s="110"/>
      <c r="U21" s="154"/>
      <c r="V21" s="15"/>
    </row>
    <row r="22">
      <c r="A22" s="9"/>
      <c r="B22" s="81">
        <v>0.5208333333333334</v>
      </c>
      <c r="C22" s="81">
        <v>0.53125</v>
      </c>
      <c r="D22" s="9"/>
      <c r="E22" s="109"/>
      <c r="H22" s="110"/>
      <c r="I22" s="13"/>
      <c r="J22" s="155"/>
      <c r="O22" s="156"/>
      <c r="P22" s="158"/>
      <c r="Q22" s="163" t="s">
        <v>135</v>
      </c>
      <c r="U22" s="154"/>
      <c r="V22" s="15"/>
    </row>
    <row r="23">
      <c r="A23" s="9"/>
      <c r="B23" s="106">
        <v>0.53125</v>
      </c>
      <c r="C23" s="106">
        <v>0.5416666666666666</v>
      </c>
      <c r="D23" s="9"/>
      <c r="E23" s="109"/>
      <c r="H23" s="110"/>
      <c r="I23" s="13"/>
      <c r="J23" s="155"/>
      <c r="O23" s="156"/>
      <c r="P23" s="158"/>
      <c r="Q23" s="109"/>
      <c r="U23" s="154"/>
      <c r="V23" s="15"/>
    </row>
    <row r="24">
      <c r="A24" s="9"/>
      <c r="B24" s="81">
        <v>0.5416666666666666</v>
      </c>
      <c r="C24" s="81">
        <v>0.5520833333333334</v>
      </c>
      <c r="D24" s="9"/>
      <c r="E24" s="109"/>
      <c r="H24" s="110"/>
      <c r="I24" s="13"/>
      <c r="J24" s="155"/>
      <c r="O24" s="156"/>
      <c r="P24" s="158"/>
      <c r="Q24" s="109"/>
      <c r="U24" s="165"/>
      <c r="V24" s="166"/>
    </row>
    <row r="25">
      <c r="A25" s="9"/>
      <c r="B25" s="106">
        <v>0.5520833333333334</v>
      </c>
      <c r="C25" s="106">
        <v>0.5625</v>
      </c>
      <c r="D25" s="9"/>
      <c r="E25" s="109"/>
      <c r="H25" s="110"/>
      <c r="I25" s="13"/>
      <c r="J25" s="167"/>
      <c r="K25" s="169"/>
      <c r="L25" s="169"/>
      <c r="M25" s="169"/>
      <c r="N25" s="169"/>
      <c r="O25" s="170"/>
      <c r="P25" s="171"/>
      <c r="Q25" s="173" t="s">
        <v>147</v>
      </c>
      <c r="U25" s="165"/>
      <c r="V25" s="166"/>
    </row>
    <row r="26">
      <c r="A26" s="9"/>
      <c r="B26" s="81">
        <v>0.5625</v>
      </c>
      <c r="C26" s="81">
        <v>0.5729166666666666</v>
      </c>
      <c r="D26" s="9"/>
      <c r="E26" s="109"/>
      <c r="H26" s="110"/>
      <c r="I26" s="13"/>
      <c r="J26" s="176" t="s">
        <v>94</v>
      </c>
      <c r="K26" s="68"/>
      <c r="L26" s="68"/>
      <c r="M26" s="178" t="s">
        <v>149</v>
      </c>
      <c r="N26" s="68"/>
      <c r="O26" s="68"/>
      <c r="P26" s="158"/>
      <c r="Q26" s="112"/>
      <c r="U26" s="180"/>
      <c r="V26" s="166"/>
    </row>
    <row r="27">
      <c r="A27" s="9"/>
      <c r="B27" s="106">
        <v>0.5729166666666666</v>
      </c>
      <c r="C27" s="106">
        <v>0.5833333333333334</v>
      </c>
      <c r="D27" s="9"/>
      <c r="E27" s="109"/>
      <c r="H27" s="110"/>
      <c r="I27" s="13"/>
      <c r="J27" s="155"/>
      <c r="M27" s="155"/>
      <c r="P27" s="152"/>
      <c r="Q27" s="112"/>
      <c r="U27" s="180"/>
      <c r="V27" s="166"/>
    </row>
    <row r="28">
      <c r="A28" s="9"/>
      <c r="B28" s="81">
        <v>0.5833333333333334</v>
      </c>
      <c r="C28" s="81">
        <v>0.59375</v>
      </c>
      <c r="D28" s="9"/>
      <c r="E28" s="182" t="s">
        <v>152</v>
      </c>
      <c r="F28" s="68"/>
      <c r="G28" s="68"/>
      <c r="H28" s="27"/>
      <c r="I28" s="13"/>
      <c r="J28" s="155"/>
      <c r="M28" s="155"/>
      <c r="P28" s="152"/>
      <c r="Q28" s="112"/>
      <c r="U28" s="154"/>
      <c r="V28" s="15"/>
    </row>
    <row r="29">
      <c r="A29" s="9"/>
      <c r="B29" s="106">
        <v>0.59375</v>
      </c>
      <c r="C29" s="106">
        <v>0.6041666666666666</v>
      </c>
      <c r="D29" s="9"/>
      <c r="E29" s="109"/>
      <c r="H29" s="110"/>
      <c r="I29" s="13"/>
      <c r="J29" s="155"/>
      <c r="M29" s="155"/>
      <c r="P29" s="152"/>
      <c r="Q29" s="112"/>
      <c r="U29" s="154"/>
      <c r="V29" s="15"/>
    </row>
    <row r="30">
      <c r="A30" s="9"/>
      <c r="B30" s="81">
        <v>0.6041666666666666</v>
      </c>
      <c r="C30" s="81">
        <v>0.6145833333333334</v>
      </c>
      <c r="D30" s="9"/>
      <c r="E30" s="109"/>
      <c r="H30" s="110"/>
      <c r="I30" s="13"/>
      <c r="J30" s="155"/>
      <c r="M30" s="155"/>
      <c r="P30" s="152"/>
      <c r="Q30" s="185" t="s">
        <v>154</v>
      </c>
      <c r="T30" s="114"/>
      <c r="U30" s="154"/>
      <c r="V30" s="15"/>
    </row>
    <row r="31">
      <c r="A31" s="9"/>
      <c r="B31" s="106">
        <v>0.6145833333333334</v>
      </c>
      <c r="C31" s="106">
        <v>0.625</v>
      </c>
      <c r="D31" s="9"/>
      <c r="E31" s="109"/>
      <c r="H31" s="110"/>
      <c r="I31" s="13"/>
      <c r="J31" s="98"/>
      <c r="K31" s="100"/>
      <c r="L31" s="100"/>
      <c r="M31" s="98"/>
      <c r="N31" s="100"/>
      <c r="O31" s="100"/>
      <c r="P31" s="152"/>
      <c r="Q31" s="112"/>
      <c r="T31" s="114"/>
      <c r="U31" s="154"/>
      <c r="V31" s="15"/>
    </row>
    <row r="32">
      <c r="A32" s="9"/>
      <c r="B32" s="81">
        <v>0.625</v>
      </c>
      <c r="C32" s="81">
        <v>0.6354166666666666</v>
      </c>
      <c r="D32" s="9"/>
      <c r="E32" s="109"/>
      <c r="H32" s="110"/>
      <c r="I32" s="13"/>
      <c r="J32" s="188" t="s">
        <v>155</v>
      </c>
      <c r="O32" s="110"/>
      <c r="P32" s="152"/>
      <c r="Q32" s="112"/>
      <c r="T32" s="114"/>
      <c r="U32" s="154"/>
      <c r="V32" s="15"/>
    </row>
    <row r="33">
      <c r="A33" s="9"/>
      <c r="B33" s="106">
        <v>0.6354166666666666</v>
      </c>
      <c r="C33" s="106">
        <v>0.6458333333333334</v>
      </c>
      <c r="D33" s="9"/>
      <c r="E33" s="53"/>
      <c r="F33" s="169"/>
      <c r="G33" s="169"/>
      <c r="H33" s="56"/>
      <c r="I33" s="13"/>
      <c r="J33" s="109"/>
      <c r="O33" s="110"/>
      <c r="P33" s="152"/>
      <c r="Q33" s="190" t="s">
        <v>156</v>
      </c>
      <c r="U33" s="154"/>
      <c r="V33" s="15"/>
    </row>
    <row r="34">
      <c r="A34" s="9"/>
      <c r="B34" s="81">
        <v>0.6458333333333334</v>
      </c>
      <c r="C34" s="81">
        <v>0.65625</v>
      </c>
      <c r="D34" s="9"/>
      <c r="E34" s="192" t="s">
        <v>157</v>
      </c>
      <c r="F34" s="68"/>
      <c r="G34" s="68"/>
      <c r="H34" s="27"/>
      <c r="I34" s="13"/>
      <c r="J34" s="109"/>
      <c r="O34" s="110"/>
      <c r="P34" s="158"/>
      <c r="Q34" s="112"/>
      <c r="U34" s="154"/>
      <c r="V34" s="15"/>
    </row>
    <row r="35">
      <c r="A35" s="9"/>
      <c r="B35" s="106">
        <v>0.65625</v>
      </c>
      <c r="C35" s="106">
        <v>0.6666666666666666</v>
      </c>
      <c r="D35" s="9"/>
      <c r="E35" s="109"/>
      <c r="H35" s="110"/>
      <c r="I35" s="13"/>
      <c r="J35" s="195" t="s">
        <v>112</v>
      </c>
      <c r="K35" s="68"/>
      <c r="L35" s="68"/>
      <c r="M35" s="68"/>
      <c r="N35" s="68"/>
      <c r="O35" s="68"/>
      <c r="P35" s="158"/>
      <c r="Q35" s="112"/>
      <c r="U35" s="154"/>
      <c r="V35" s="15"/>
    </row>
    <row r="36">
      <c r="A36" s="9"/>
      <c r="B36" s="81">
        <v>0.6666666666666666</v>
      </c>
      <c r="C36" s="81">
        <v>0.6770833333333334</v>
      </c>
      <c r="D36" s="9"/>
      <c r="E36" s="109"/>
      <c r="H36" s="110"/>
      <c r="I36" s="13"/>
      <c r="J36" s="109"/>
      <c r="P36" s="158"/>
      <c r="Q36" s="112"/>
      <c r="U36" s="154"/>
      <c r="V36" s="15"/>
    </row>
    <row r="37">
      <c r="A37" s="9"/>
      <c r="B37" s="106">
        <v>0.6770833333333334</v>
      </c>
      <c r="C37" s="106">
        <v>0.6875</v>
      </c>
      <c r="D37" s="9"/>
      <c r="E37" s="53"/>
      <c r="F37" s="169"/>
      <c r="G37" s="169"/>
      <c r="H37" s="56"/>
      <c r="I37" s="13"/>
      <c r="J37" s="109"/>
      <c r="P37" s="152"/>
      <c r="Q37" s="112"/>
      <c r="U37" s="9"/>
      <c r="V37" s="15"/>
    </row>
    <row r="38">
      <c r="A38" s="9"/>
      <c r="B38" s="81">
        <v>0.6875</v>
      </c>
      <c r="C38" s="81">
        <v>0.6979166666666666</v>
      </c>
      <c r="D38" s="9"/>
      <c r="E38" s="196" t="s">
        <v>158</v>
      </c>
      <c r="H38" s="110"/>
      <c r="I38" s="13"/>
      <c r="J38" s="109"/>
      <c r="P38" s="152"/>
      <c r="Q38" s="112"/>
      <c r="U38" s="9"/>
      <c r="V38" s="15"/>
    </row>
    <row r="39">
      <c r="A39" s="9"/>
      <c r="B39" s="106">
        <v>0.6979166666666666</v>
      </c>
      <c r="C39" s="106">
        <v>0.7083333333333334</v>
      </c>
      <c r="D39" s="9"/>
      <c r="E39" s="197" t="s">
        <v>60</v>
      </c>
      <c r="H39" s="110"/>
      <c r="I39" s="13"/>
      <c r="J39" s="141" t="s">
        <v>109</v>
      </c>
      <c r="K39" s="94"/>
      <c r="L39" s="94"/>
      <c r="M39" s="94"/>
      <c r="N39" s="94"/>
      <c r="O39" s="95"/>
      <c r="P39" s="152"/>
      <c r="Q39" s="112"/>
      <c r="U39" s="9"/>
      <c r="V39" s="15"/>
    </row>
    <row r="40" ht="28.5" customHeight="1">
      <c r="A40" s="9"/>
      <c r="B40" s="81">
        <v>0.7083333333333334</v>
      </c>
      <c r="C40" s="81">
        <v>0.71875</v>
      </c>
      <c r="D40" s="9"/>
      <c r="E40" s="109"/>
      <c r="H40" s="110"/>
      <c r="I40" s="13"/>
      <c r="J40" s="198" t="s">
        <v>117</v>
      </c>
      <c r="K40" s="68"/>
      <c r="L40" s="68"/>
      <c r="M40" s="68"/>
      <c r="N40" s="68"/>
      <c r="O40" s="27"/>
      <c r="P40" s="152"/>
      <c r="Q40" s="112"/>
      <c r="U40" s="9"/>
      <c r="V40" s="15"/>
    </row>
    <row r="41">
      <c r="A41" s="9"/>
      <c r="B41" s="106">
        <v>0.71875</v>
      </c>
      <c r="C41" s="106">
        <v>0.7291666666666666</v>
      </c>
      <c r="D41" s="9"/>
      <c r="E41" s="109"/>
      <c r="H41" s="110"/>
      <c r="I41" s="13"/>
      <c r="J41" s="109"/>
      <c r="O41" s="110"/>
      <c r="P41" s="152"/>
      <c r="Q41" s="99"/>
      <c r="R41" s="199"/>
      <c r="S41" s="199"/>
      <c r="T41" s="200"/>
      <c r="U41" s="9"/>
      <c r="V41" s="15"/>
    </row>
    <row r="42">
      <c r="A42" s="9"/>
      <c r="B42" s="81">
        <v>0.7291666666666666</v>
      </c>
      <c r="C42" s="81">
        <v>0.7395833333333334</v>
      </c>
      <c r="D42" s="9"/>
      <c r="E42" s="203" t="s">
        <v>68</v>
      </c>
      <c r="F42" s="68"/>
      <c r="G42" s="68"/>
      <c r="H42" s="27"/>
      <c r="I42" s="13"/>
      <c r="J42" s="109"/>
      <c r="O42" s="110"/>
      <c r="P42" s="152"/>
      <c r="Q42" s="99"/>
      <c r="R42" s="199"/>
      <c r="S42" s="199"/>
      <c r="T42" s="200"/>
      <c r="U42" s="9"/>
      <c r="V42" s="15"/>
    </row>
    <row r="43">
      <c r="A43" s="9"/>
      <c r="B43" s="106">
        <v>0.7395833333333334</v>
      </c>
      <c r="C43" s="106">
        <v>0.75</v>
      </c>
      <c r="D43" s="9"/>
      <c r="E43" s="109"/>
      <c r="H43" s="110"/>
      <c r="I43" s="13"/>
      <c r="J43" s="109"/>
      <c r="O43" s="110"/>
      <c r="P43" s="152"/>
      <c r="Q43" s="99"/>
      <c r="R43" s="199"/>
      <c r="S43" s="199"/>
      <c r="T43" s="200"/>
      <c r="U43" s="9"/>
      <c r="V43" s="15"/>
    </row>
    <row r="44">
      <c r="A44" s="9"/>
      <c r="B44" s="81">
        <v>0.75</v>
      </c>
      <c r="C44" s="81">
        <v>0.7604166666666666</v>
      </c>
      <c r="D44" s="9"/>
      <c r="E44" s="109"/>
      <c r="H44" s="110"/>
      <c r="I44" s="13"/>
      <c r="J44" s="109"/>
      <c r="O44" s="110"/>
      <c r="P44" s="152"/>
      <c r="Q44" s="99"/>
      <c r="R44" s="99"/>
      <c r="S44" s="99"/>
      <c r="T44" s="171"/>
      <c r="U44" s="9"/>
      <c r="V44" s="15"/>
    </row>
    <row r="45">
      <c r="A45" s="9"/>
      <c r="B45" s="106">
        <v>0.7604166666666666</v>
      </c>
      <c r="C45" s="106">
        <v>0.7708333333333334</v>
      </c>
      <c r="D45" s="9"/>
      <c r="E45" s="109"/>
      <c r="H45" s="110"/>
      <c r="I45" s="13"/>
      <c r="J45" s="109"/>
      <c r="O45" s="110"/>
      <c r="P45" s="152"/>
      <c r="Q45" s="99"/>
      <c r="R45" s="99"/>
      <c r="S45" s="99"/>
      <c r="T45" s="171"/>
      <c r="U45" s="9"/>
      <c r="V45" s="15"/>
    </row>
    <row r="46">
      <c r="A46" s="9"/>
      <c r="B46" s="81">
        <v>0.7708333333333334</v>
      </c>
      <c r="C46" s="81">
        <v>0.78125</v>
      </c>
      <c r="D46" s="9"/>
      <c r="E46" s="207" t="s">
        <v>160</v>
      </c>
      <c r="H46" s="110"/>
      <c r="I46" s="13"/>
      <c r="J46" s="109"/>
      <c r="O46" s="110"/>
      <c r="P46" s="152"/>
      <c r="Q46" s="99"/>
      <c r="R46" s="99"/>
      <c r="S46" s="99"/>
      <c r="T46" s="171"/>
      <c r="U46" s="9"/>
      <c r="V46" s="15"/>
    </row>
    <row r="47">
      <c r="A47" s="9"/>
      <c r="B47" s="106">
        <v>0.78125</v>
      </c>
      <c r="C47" s="106">
        <v>0.7916666666666666</v>
      </c>
      <c r="D47" s="9"/>
      <c r="E47" s="53"/>
      <c r="F47" s="169"/>
      <c r="G47" s="169"/>
      <c r="H47" s="56"/>
      <c r="I47" s="13"/>
      <c r="J47" s="109"/>
      <c r="O47" s="110"/>
      <c r="P47" s="152"/>
      <c r="Q47" s="99"/>
      <c r="R47" s="99"/>
      <c r="S47" s="99"/>
      <c r="T47" s="171"/>
      <c r="U47" s="9"/>
      <c r="V47" s="15"/>
    </row>
    <row r="48">
      <c r="A48" s="9"/>
      <c r="B48" s="81">
        <v>0.7916666666666666</v>
      </c>
      <c r="C48" s="81">
        <v>0.8020833333333334</v>
      </c>
      <c r="D48" s="9"/>
      <c r="E48" s="211" t="s">
        <v>163</v>
      </c>
      <c r="F48" s="68"/>
      <c r="G48" s="68"/>
      <c r="H48" s="27"/>
      <c r="I48" s="13"/>
      <c r="J48" s="109"/>
      <c r="O48" s="110"/>
      <c r="P48" s="152"/>
      <c r="Q48" s="99"/>
      <c r="R48" s="213"/>
      <c r="S48" s="94"/>
      <c r="T48" s="95"/>
      <c r="U48" s="9"/>
      <c r="V48" s="15"/>
    </row>
    <row r="49">
      <c r="A49" s="9"/>
      <c r="B49" s="106">
        <v>0.8020833333333334</v>
      </c>
      <c r="C49" s="106">
        <v>0.8125</v>
      </c>
      <c r="D49" s="9"/>
      <c r="E49" s="109"/>
      <c r="H49" s="110"/>
      <c r="I49" s="13"/>
      <c r="J49" s="109"/>
      <c r="O49" s="110"/>
      <c r="P49" s="152"/>
      <c r="Q49" s="99"/>
      <c r="R49" s="112"/>
      <c r="T49" s="114"/>
      <c r="U49" s="9"/>
      <c r="V49" s="15"/>
    </row>
    <row r="50">
      <c r="A50" s="9"/>
      <c r="B50" s="81">
        <v>0.8125</v>
      </c>
      <c r="C50" s="81">
        <v>0.8229166666666666</v>
      </c>
      <c r="D50" s="9"/>
      <c r="E50" s="109"/>
      <c r="H50" s="110"/>
      <c r="I50" s="13"/>
      <c r="J50" s="109"/>
      <c r="O50" s="110"/>
      <c r="P50" s="152"/>
      <c r="Q50" s="99"/>
      <c r="R50" s="112"/>
      <c r="T50" s="114"/>
      <c r="U50" s="9"/>
      <c r="V50" s="15"/>
    </row>
    <row r="51">
      <c r="A51" s="9"/>
      <c r="B51" s="106">
        <v>0.8229166666666666</v>
      </c>
      <c r="C51" s="106">
        <v>0.8333333333333334</v>
      </c>
      <c r="D51" s="9"/>
      <c r="E51" s="109"/>
      <c r="H51" s="110"/>
      <c r="I51" s="13"/>
      <c r="J51" s="218" t="s">
        <v>160</v>
      </c>
      <c r="O51" s="114"/>
      <c r="P51" s="99"/>
      <c r="Q51" s="99"/>
      <c r="R51" s="112"/>
      <c r="T51" s="114"/>
      <c r="U51" s="9"/>
      <c r="V51" s="15"/>
    </row>
    <row r="52">
      <c r="A52" s="9"/>
      <c r="B52" s="81">
        <v>0.8333333333333334</v>
      </c>
      <c r="C52" s="81">
        <v>0.84375</v>
      </c>
      <c r="D52" s="9"/>
      <c r="E52" s="53"/>
      <c r="F52" s="169"/>
      <c r="G52" s="169"/>
      <c r="H52" s="56"/>
      <c r="I52" s="13"/>
      <c r="J52" s="117"/>
      <c r="K52" s="120"/>
      <c r="L52" s="120"/>
      <c r="M52" s="120"/>
      <c r="N52" s="120"/>
      <c r="O52" s="122"/>
      <c r="P52" s="99"/>
      <c r="Q52" s="99"/>
      <c r="R52" s="112"/>
      <c r="T52" s="114"/>
      <c r="U52" s="9"/>
      <c r="V52" s="15"/>
    </row>
    <row r="53">
      <c r="A53" s="9"/>
      <c r="B53" s="106">
        <v>0.84375</v>
      </c>
      <c r="C53" s="106">
        <v>0.8541666666666666</v>
      </c>
      <c r="D53" s="9"/>
      <c r="E53" s="221" t="s">
        <v>165</v>
      </c>
      <c r="F53" s="68"/>
      <c r="G53" s="68"/>
      <c r="H53" s="27"/>
      <c r="I53" s="13"/>
      <c r="J53" s="125" t="s">
        <v>167</v>
      </c>
      <c r="K53" s="94"/>
      <c r="L53" s="94"/>
      <c r="M53" s="94"/>
      <c r="N53" s="94"/>
      <c r="O53" s="94"/>
      <c r="P53" s="99"/>
      <c r="Q53" s="99"/>
      <c r="R53" s="117"/>
      <c r="S53" s="120"/>
      <c r="T53" s="122"/>
      <c r="U53" s="9"/>
      <c r="V53" s="15"/>
    </row>
    <row r="54">
      <c r="A54" s="9"/>
      <c r="B54" s="81">
        <v>0.8541666666666666</v>
      </c>
      <c r="C54" s="81">
        <v>0.8645833333333334</v>
      </c>
      <c r="D54" s="9"/>
      <c r="E54" s="109"/>
      <c r="H54" s="110"/>
      <c r="I54" s="13"/>
      <c r="J54" s="112"/>
      <c r="P54" s="99"/>
      <c r="Q54" s="99"/>
      <c r="R54" s="225"/>
      <c r="S54" s="94"/>
      <c r="T54" s="95"/>
      <c r="U54" s="9"/>
      <c r="V54" s="15"/>
    </row>
    <row r="55" ht="28.5" customHeight="1">
      <c r="A55" s="9"/>
      <c r="B55" s="106">
        <v>0.8645833333333334</v>
      </c>
      <c r="C55" s="106">
        <v>0.875</v>
      </c>
      <c r="D55" s="9"/>
      <c r="E55" s="109"/>
      <c r="H55" s="110"/>
      <c r="I55" s="13"/>
      <c r="J55" s="112"/>
      <c r="P55" s="99"/>
      <c r="Q55" s="99"/>
      <c r="R55" s="112"/>
      <c r="T55" s="114"/>
      <c r="U55" s="9"/>
      <c r="V55" s="15"/>
    </row>
    <row r="56">
      <c r="A56" s="9"/>
      <c r="B56" s="81">
        <v>0.875</v>
      </c>
      <c r="C56" s="81">
        <v>0.8854166666666666</v>
      </c>
      <c r="D56" s="9"/>
      <c r="E56" s="109"/>
      <c r="H56" s="110"/>
      <c r="I56" s="13"/>
      <c r="J56" s="112"/>
      <c r="P56" s="99"/>
      <c r="Q56" s="99"/>
      <c r="R56" s="112"/>
      <c r="T56" s="114"/>
      <c r="U56" s="9"/>
      <c r="V56" s="15"/>
    </row>
    <row r="57">
      <c r="A57" s="9"/>
      <c r="B57" s="106">
        <v>0.8854166666666666</v>
      </c>
      <c r="C57" s="106">
        <v>0.8958333333333334</v>
      </c>
      <c r="D57" s="9"/>
      <c r="E57" s="109"/>
      <c r="H57" s="110"/>
      <c r="I57" s="13"/>
      <c r="J57" s="91" t="s">
        <v>169</v>
      </c>
      <c r="K57" s="94"/>
      <c r="L57" s="94"/>
      <c r="M57" s="94"/>
      <c r="N57" s="94"/>
      <c r="O57" s="95"/>
      <c r="P57" s="99"/>
      <c r="Q57" s="99"/>
      <c r="R57" s="117"/>
      <c r="S57" s="120"/>
      <c r="T57" s="122"/>
      <c r="U57" s="9"/>
      <c r="V57" s="15"/>
    </row>
    <row r="58">
      <c r="A58" s="9"/>
      <c r="B58" s="81">
        <v>0.8958333333333334</v>
      </c>
      <c r="C58" s="81">
        <v>0.90625</v>
      </c>
      <c r="D58" s="9"/>
      <c r="E58" s="109"/>
      <c r="H58" s="110"/>
      <c r="I58" s="13"/>
      <c r="J58" s="112"/>
      <c r="O58" s="114"/>
      <c r="P58" s="99"/>
      <c r="Q58" s="99"/>
      <c r="R58" s="213"/>
      <c r="S58" s="94"/>
      <c r="T58" s="95"/>
      <c r="U58" s="9"/>
      <c r="V58" s="15"/>
    </row>
    <row r="59">
      <c r="A59" s="9"/>
      <c r="B59" s="106">
        <v>0.90625</v>
      </c>
      <c r="C59" s="106">
        <v>0.9166666666666666</v>
      </c>
      <c r="D59" s="9"/>
      <c r="E59" s="109"/>
      <c r="H59" s="110"/>
      <c r="I59" s="13"/>
      <c r="J59" s="112"/>
      <c r="O59" s="114"/>
      <c r="P59" s="99"/>
      <c r="Q59" s="99"/>
      <c r="R59" s="112"/>
      <c r="T59" s="114"/>
      <c r="U59" s="9"/>
      <c r="V59" s="15"/>
    </row>
    <row r="60">
      <c r="A60" s="9"/>
      <c r="B60" s="81">
        <v>0.9166666666666666</v>
      </c>
      <c r="C60" s="81">
        <v>0.9270833333333334</v>
      </c>
      <c r="D60" s="9"/>
      <c r="E60" s="109"/>
      <c r="H60" s="110"/>
      <c r="I60" s="13"/>
      <c r="J60" s="234" t="s">
        <v>173</v>
      </c>
      <c r="K60" s="94"/>
      <c r="L60" s="94"/>
      <c r="M60" s="94"/>
      <c r="N60" s="94"/>
      <c r="O60" s="95"/>
      <c r="P60" s="99"/>
      <c r="Q60" s="99"/>
      <c r="R60" s="112"/>
      <c r="T60" s="114"/>
      <c r="U60" s="9"/>
      <c r="V60" s="15"/>
    </row>
    <row r="61">
      <c r="A61" s="9"/>
      <c r="B61" s="106">
        <v>0.9270833333333334</v>
      </c>
      <c r="C61" s="106">
        <v>0.9375</v>
      </c>
      <c r="D61" s="9"/>
      <c r="E61" s="109"/>
      <c r="H61" s="110"/>
      <c r="I61" s="13"/>
      <c r="J61" s="112"/>
      <c r="O61" s="114"/>
      <c r="P61" s="99"/>
      <c r="Q61" s="99"/>
      <c r="R61" s="112"/>
      <c r="T61" s="114"/>
      <c r="U61" s="9"/>
      <c r="V61" s="15"/>
    </row>
    <row r="62">
      <c r="A62" s="9"/>
      <c r="B62" s="81">
        <v>0.9375</v>
      </c>
      <c r="C62" s="81">
        <v>0.9479166666666666</v>
      </c>
      <c r="D62" s="9"/>
      <c r="E62" s="109"/>
      <c r="H62" s="110"/>
      <c r="I62" s="13"/>
      <c r="J62" s="112"/>
      <c r="O62" s="114"/>
      <c r="P62" s="99"/>
      <c r="Q62" s="99"/>
      <c r="R62" s="112"/>
      <c r="T62" s="114"/>
      <c r="U62" s="9"/>
      <c r="V62" s="15"/>
    </row>
    <row r="63">
      <c r="A63" s="9"/>
      <c r="B63" s="106">
        <v>0.9479166666666666</v>
      </c>
      <c r="C63" s="106">
        <v>0.9583333333333334</v>
      </c>
      <c r="D63" s="9"/>
      <c r="E63" s="109"/>
      <c r="H63" s="110"/>
      <c r="I63" s="13"/>
      <c r="J63" s="112"/>
      <c r="O63" s="114"/>
      <c r="P63" s="99"/>
      <c r="Q63" s="99"/>
      <c r="R63" s="117"/>
      <c r="S63" s="120"/>
      <c r="T63" s="122"/>
      <c r="U63" s="9"/>
      <c r="V63" s="15"/>
    </row>
    <row r="64">
      <c r="A64" s="9"/>
      <c r="B64" s="81">
        <v>0.9583333333333334</v>
      </c>
      <c r="C64" s="81">
        <v>0.96875</v>
      </c>
      <c r="D64" s="9"/>
      <c r="E64" s="109"/>
      <c r="H64" s="110"/>
      <c r="I64" s="13"/>
      <c r="J64" s="112"/>
      <c r="O64" s="114"/>
      <c r="P64" s="99"/>
      <c r="Q64" s="99"/>
      <c r="R64" s="213"/>
      <c r="S64" s="94"/>
      <c r="T64" s="95"/>
      <c r="U64" s="9"/>
      <c r="V64" s="15"/>
    </row>
    <row r="65">
      <c r="A65" s="9"/>
      <c r="B65" s="106">
        <v>0.96875</v>
      </c>
      <c r="C65" s="106">
        <v>0.9791666666666666</v>
      </c>
      <c r="D65" s="9"/>
      <c r="E65" s="239"/>
      <c r="F65" s="236"/>
      <c r="G65" s="236"/>
      <c r="H65" s="241"/>
      <c r="I65" s="13"/>
      <c r="J65" s="112"/>
      <c r="O65" s="114"/>
      <c r="P65" s="99"/>
      <c r="Q65" s="99"/>
      <c r="R65" s="112"/>
      <c r="T65" s="114"/>
      <c r="U65" s="9"/>
      <c r="V65" s="15"/>
    </row>
    <row r="66">
      <c r="A66" s="9"/>
      <c r="B66" s="81">
        <v>0.9791666666666666</v>
      </c>
      <c r="C66" s="81">
        <v>0.9895833333333334</v>
      </c>
      <c r="D66" s="9"/>
      <c r="E66" s="239"/>
      <c r="F66" s="236"/>
      <c r="G66" s="236"/>
      <c r="H66" s="241"/>
      <c r="I66" s="13"/>
      <c r="J66" s="112"/>
      <c r="O66" s="114"/>
      <c r="P66" s="99"/>
      <c r="Q66" s="99"/>
      <c r="R66" s="112"/>
      <c r="T66" s="114"/>
      <c r="U66" s="9"/>
      <c r="V66" s="15"/>
    </row>
    <row r="67">
      <c r="A67" s="9"/>
      <c r="B67" s="106">
        <v>0.9895833333333334</v>
      </c>
      <c r="C67" s="106">
        <v>1.0</v>
      </c>
      <c r="D67" s="9"/>
      <c r="E67" s="239"/>
      <c r="F67" s="236"/>
      <c r="G67" s="236"/>
      <c r="H67" s="241"/>
      <c r="I67" s="13"/>
      <c r="J67" s="112"/>
      <c r="O67" s="114"/>
      <c r="P67" s="99"/>
      <c r="Q67" s="99"/>
      <c r="R67" s="112"/>
      <c r="T67" s="114"/>
      <c r="U67" s="9"/>
      <c r="V67" s="15"/>
    </row>
    <row r="68">
      <c r="A68" s="9"/>
      <c r="B68" s="81">
        <v>1.0</v>
      </c>
      <c r="C68" s="81">
        <v>1.0104166666666667</v>
      </c>
      <c r="D68" s="9"/>
      <c r="E68" s="239"/>
      <c r="F68" s="236"/>
      <c r="G68" s="236"/>
      <c r="H68" s="241"/>
      <c r="I68" s="13"/>
      <c r="J68" s="112"/>
      <c r="O68" s="114"/>
      <c r="P68" s="99"/>
      <c r="Q68" s="99"/>
      <c r="R68" s="112"/>
      <c r="T68" s="114"/>
      <c r="U68" s="9"/>
      <c r="V68" s="15"/>
    </row>
    <row r="69">
      <c r="A69" s="9"/>
      <c r="B69" s="106">
        <v>1.0104166666666667</v>
      </c>
      <c r="C69" s="106">
        <v>1.0208333333333333</v>
      </c>
      <c r="D69" s="9"/>
      <c r="I69" s="13"/>
      <c r="J69" s="117"/>
      <c r="K69" s="120"/>
      <c r="L69" s="120"/>
      <c r="M69" s="120"/>
      <c r="N69" s="120"/>
      <c r="O69" s="122"/>
      <c r="P69" s="99"/>
      <c r="Q69" s="99"/>
      <c r="R69" s="112"/>
      <c r="T69" s="114"/>
      <c r="U69" s="9"/>
      <c r="V69" s="15"/>
    </row>
    <row r="70">
      <c r="A70" s="9"/>
      <c r="B70" s="81">
        <v>1.0208333333333333</v>
      </c>
      <c r="C70" s="81">
        <v>1.03125</v>
      </c>
      <c r="D70" s="9"/>
      <c r="I70" s="13"/>
      <c r="J70" s="131" t="s">
        <v>178</v>
      </c>
      <c r="K70" s="94"/>
      <c r="L70" s="94"/>
      <c r="M70" s="94"/>
      <c r="N70" s="94"/>
      <c r="O70" s="95"/>
      <c r="P70" s="99"/>
      <c r="Q70" s="99"/>
      <c r="R70" s="112"/>
      <c r="T70" s="114"/>
      <c r="U70" s="9"/>
      <c r="V70" s="15"/>
    </row>
    <row r="71">
      <c r="A71" s="9"/>
      <c r="B71" s="106">
        <v>1.03125</v>
      </c>
      <c r="C71" s="106">
        <v>1.0416666666666667</v>
      </c>
      <c r="D71" s="9"/>
      <c r="I71" s="13"/>
      <c r="J71" s="112"/>
      <c r="O71" s="114"/>
      <c r="P71" s="99"/>
      <c r="Q71" s="99"/>
      <c r="R71" s="112"/>
      <c r="T71" s="114"/>
      <c r="U71" s="9"/>
      <c r="V71" s="15"/>
    </row>
    <row r="72">
      <c r="A72" s="9"/>
      <c r="B72" s="81">
        <v>1.0416666666666667</v>
      </c>
      <c r="C72" s="81">
        <v>1.0520833333333333</v>
      </c>
      <c r="D72" s="9"/>
      <c r="I72" s="13"/>
      <c r="J72" s="112"/>
      <c r="O72" s="114"/>
      <c r="P72" s="99"/>
      <c r="Q72" s="99"/>
      <c r="R72" s="112"/>
      <c r="T72" s="114"/>
      <c r="U72" s="9"/>
      <c r="V72" s="15"/>
    </row>
    <row r="73">
      <c r="A73" s="9"/>
      <c r="B73" s="106">
        <v>1.0520833333333333</v>
      </c>
      <c r="C73" s="106">
        <v>1.0625</v>
      </c>
      <c r="D73" s="9"/>
      <c r="I73" s="13"/>
      <c r="J73" s="112"/>
      <c r="O73" s="114"/>
      <c r="P73" s="99"/>
      <c r="Q73" s="99"/>
      <c r="R73" s="112"/>
      <c r="T73" s="114"/>
      <c r="U73" s="9"/>
      <c r="V73" s="15"/>
    </row>
    <row r="74">
      <c r="A74" s="9"/>
      <c r="B74" s="81">
        <v>1.0625</v>
      </c>
      <c r="C74" s="81">
        <v>1.0729166666666667</v>
      </c>
      <c r="D74" s="9"/>
      <c r="I74" s="13"/>
      <c r="J74" s="112"/>
      <c r="O74" s="114"/>
      <c r="P74" s="99"/>
      <c r="Q74" s="99"/>
      <c r="R74" s="112"/>
      <c r="T74" s="114"/>
      <c r="U74" s="9"/>
      <c r="V74" s="15"/>
    </row>
    <row r="75">
      <c r="A75" s="9"/>
      <c r="B75" s="106">
        <v>1.0729166666666667</v>
      </c>
      <c r="C75" s="106">
        <v>1.0833333333333333</v>
      </c>
      <c r="D75" s="9"/>
      <c r="J75" s="112"/>
      <c r="O75" s="114"/>
      <c r="P75" s="99"/>
      <c r="Q75" s="99"/>
      <c r="R75" s="117"/>
      <c r="S75" s="120"/>
      <c r="T75" s="122"/>
      <c r="U75" s="9"/>
      <c r="V75" s="15"/>
    </row>
    <row r="76">
      <c r="A76" s="9"/>
      <c r="B76" s="9"/>
      <c r="C76" s="9"/>
      <c r="D76" s="9"/>
      <c r="I76" s="13"/>
      <c r="J76" s="112"/>
      <c r="O76" s="114"/>
      <c r="P76" s="250"/>
      <c r="Q76" s="252"/>
      <c r="R76" s="252"/>
      <c r="S76" s="252"/>
      <c r="T76" s="254"/>
      <c r="U76" s="9"/>
      <c r="V76" s="15"/>
    </row>
    <row r="77">
      <c r="A77" s="9"/>
      <c r="B77" s="9"/>
      <c r="C77" s="9"/>
      <c r="D77" s="9"/>
      <c r="I77" s="13"/>
      <c r="J77" s="112"/>
      <c r="O77" s="114"/>
      <c r="P77" s="154"/>
      <c r="Q77" s="9"/>
      <c r="R77" s="9"/>
      <c r="S77" s="9"/>
      <c r="T77" s="13"/>
      <c r="U77" s="9"/>
      <c r="V77" s="15"/>
    </row>
    <row r="78">
      <c r="A78" s="9"/>
      <c r="B78" s="9"/>
      <c r="C78" s="9"/>
      <c r="D78" s="9"/>
      <c r="I78" s="13"/>
      <c r="P78" s="154"/>
      <c r="Q78" s="9"/>
      <c r="R78" s="9"/>
      <c r="S78" s="9"/>
      <c r="T78" s="13"/>
      <c r="U78" s="9"/>
      <c r="V78" s="15"/>
    </row>
    <row r="79">
      <c r="A79" s="9"/>
      <c r="B79" s="9"/>
      <c r="C79" s="9"/>
      <c r="D79" s="9"/>
      <c r="I79" s="13"/>
      <c r="P79" s="154"/>
      <c r="Q79" s="9"/>
      <c r="R79" s="9"/>
      <c r="S79" s="9"/>
      <c r="T79" s="13"/>
      <c r="U79" s="9"/>
      <c r="V79" s="15"/>
    </row>
    <row r="80">
      <c r="A80" s="9"/>
      <c r="B80" s="9"/>
      <c r="C80" s="9"/>
      <c r="D80" s="9"/>
      <c r="I80" s="13"/>
      <c r="P80" s="154"/>
      <c r="Q80" s="9"/>
      <c r="R80" s="9"/>
      <c r="S80" s="9"/>
      <c r="T80" s="13"/>
      <c r="U80" s="9"/>
      <c r="V80" s="15"/>
    </row>
    <row r="81">
      <c r="A81" s="9"/>
      <c r="B81" s="9"/>
      <c r="C81" s="9"/>
      <c r="D81" s="9"/>
      <c r="I81" s="13"/>
      <c r="P81" s="154"/>
      <c r="Q81" s="9"/>
      <c r="R81" s="9"/>
      <c r="S81" s="9"/>
      <c r="T81" s="13"/>
      <c r="U81" s="9"/>
      <c r="V81" s="15"/>
    </row>
    <row r="82">
      <c r="A82" s="9"/>
      <c r="B82" s="9"/>
      <c r="C82" s="9"/>
      <c r="D82" s="9"/>
      <c r="I82" s="9"/>
      <c r="P82" s="9"/>
      <c r="Q82" s="9"/>
      <c r="R82" s="9"/>
      <c r="S82" s="9"/>
      <c r="T82" s="13"/>
      <c r="U82" s="9"/>
      <c r="V82" s="15"/>
    </row>
    <row r="83">
      <c r="A83" s="9"/>
      <c r="B83" s="9"/>
      <c r="C83" s="9"/>
      <c r="D83" s="9"/>
      <c r="I83" s="9"/>
      <c r="P83" s="9"/>
      <c r="Q83" s="9"/>
      <c r="R83" s="9"/>
      <c r="S83" s="9"/>
      <c r="T83" s="13"/>
      <c r="U83" s="9"/>
      <c r="V83" s="15"/>
    </row>
    <row r="84">
      <c r="A84" s="15"/>
      <c r="B84" s="15"/>
      <c r="C84" s="15"/>
      <c r="D84" s="15"/>
      <c r="I84" s="15"/>
      <c r="P84" s="15"/>
      <c r="Q84" s="15"/>
      <c r="R84" s="15"/>
      <c r="S84" s="15"/>
      <c r="T84" s="15"/>
      <c r="U84" s="15"/>
      <c r="V84" s="15"/>
    </row>
    <row r="85">
      <c r="A85" s="15"/>
      <c r="B85" s="15"/>
      <c r="C85" s="15"/>
      <c r="D85" s="15"/>
      <c r="I85" s="15"/>
      <c r="P85" s="15"/>
      <c r="Q85" s="15"/>
      <c r="R85" s="15"/>
      <c r="S85" s="15"/>
      <c r="T85" s="15"/>
      <c r="U85" s="15"/>
      <c r="V85" s="15"/>
    </row>
    <row r="86">
      <c r="A86" s="15"/>
      <c r="B86" s="15"/>
      <c r="C86" s="15"/>
      <c r="D86" s="15"/>
      <c r="I86" s="15"/>
      <c r="P86" s="15"/>
      <c r="Q86" s="15"/>
      <c r="R86" s="15"/>
      <c r="S86" s="15"/>
      <c r="T86" s="15"/>
      <c r="U86" s="15"/>
      <c r="V86" s="15"/>
    </row>
    <row r="87">
      <c r="A87" s="15"/>
      <c r="B87" s="15"/>
      <c r="C87" s="15"/>
      <c r="D87" s="15"/>
      <c r="I87" s="15"/>
      <c r="P87" s="15"/>
      <c r="Q87" s="15"/>
      <c r="R87" s="15"/>
      <c r="S87" s="15"/>
      <c r="T87" s="15"/>
      <c r="U87" s="15"/>
      <c r="V87" s="15"/>
    </row>
    <row r="88">
      <c r="A88" s="15"/>
      <c r="B88" s="15"/>
      <c r="C88" s="15"/>
      <c r="D88" s="15"/>
      <c r="I88" s="15"/>
      <c r="P88" s="15"/>
      <c r="Q88" s="15"/>
      <c r="R88" s="15"/>
      <c r="S88" s="15"/>
      <c r="T88" s="15"/>
      <c r="U88" s="15"/>
      <c r="V88" s="15"/>
    </row>
    <row r="89">
      <c r="A89" s="15"/>
      <c r="B89" s="15"/>
      <c r="C89" s="15"/>
      <c r="D89" s="15"/>
      <c r="I89" s="15"/>
      <c r="P89" s="15"/>
      <c r="Q89" s="15"/>
      <c r="R89" s="15"/>
      <c r="S89" s="15"/>
      <c r="T89" s="15"/>
      <c r="U89" s="15"/>
      <c r="V89" s="15"/>
    </row>
    <row r="90">
      <c r="A90" s="15"/>
      <c r="B90" s="15"/>
      <c r="C90" s="15"/>
      <c r="D90" s="15"/>
      <c r="I90" s="15"/>
      <c r="P90" s="15"/>
      <c r="Q90" s="15"/>
      <c r="R90" s="15"/>
      <c r="S90" s="15"/>
      <c r="T90" s="15"/>
      <c r="U90" s="15"/>
      <c r="V90" s="15"/>
    </row>
    <row r="91">
      <c r="A91" s="15"/>
      <c r="B91" s="15"/>
      <c r="C91" s="15"/>
      <c r="D91" s="15"/>
      <c r="I91" s="15"/>
      <c r="P91" s="15"/>
      <c r="Q91" s="15"/>
      <c r="R91" s="15"/>
      <c r="S91" s="15"/>
      <c r="T91" s="15"/>
      <c r="U91" s="15"/>
      <c r="V91" s="15"/>
    </row>
    <row r="92">
      <c r="A92" s="15"/>
      <c r="B92" s="15"/>
      <c r="C92" s="15"/>
      <c r="D92" s="15"/>
      <c r="I92" s="15"/>
      <c r="P92" s="15"/>
      <c r="Q92" s="15"/>
      <c r="R92" s="15"/>
      <c r="S92" s="15"/>
      <c r="T92" s="15"/>
      <c r="U92" s="15"/>
      <c r="V92" s="15"/>
    </row>
    <row r="93">
      <c r="A93" s="15"/>
      <c r="B93" s="15"/>
      <c r="C93" s="15"/>
      <c r="D93" s="15"/>
      <c r="I93" s="15"/>
      <c r="P93" s="15"/>
      <c r="Q93" s="15"/>
      <c r="R93" s="15"/>
      <c r="S93" s="15"/>
      <c r="T93" s="15"/>
      <c r="U93" s="15"/>
      <c r="V93" s="15"/>
    </row>
    <row r="94">
      <c r="A94" s="15"/>
      <c r="B94" s="15"/>
      <c r="C94" s="15"/>
      <c r="D94" s="15"/>
      <c r="I94" s="15"/>
      <c r="P94" s="15"/>
      <c r="Q94" s="15"/>
      <c r="R94" s="15"/>
      <c r="S94" s="15"/>
      <c r="T94" s="15"/>
      <c r="U94" s="15"/>
      <c r="V94" s="15"/>
    </row>
    <row r="95">
      <c r="A95" s="15"/>
      <c r="B95" s="15"/>
      <c r="C95" s="15"/>
      <c r="D95" s="15"/>
      <c r="I95" s="15"/>
      <c r="P95" s="15"/>
      <c r="Q95" s="15"/>
      <c r="R95" s="15"/>
      <c r="S95" s="15"/>
      <c r="T95" s="15"/>
      <c r="U95" s="15"/>
      <c r="V95" s="15"/>
    </row>
    <row r="96">
      <c r="A96" s="15"/>
      <c r="B96" s="15"/>
      <c r="C96" s="15"/>
      <c r="D96" s="15"/>
      <c r="I96" s="15"/>
      <c r="P96" s="15"/>
      <c r="Q96" s="15"/>
      <c r="R96" s="15"/>
      <c r="S96" s="15"/>
      <c r="T96" s="15"/>
      <c r="U96" s="15"/>
      <c r="V96" s="15"/>
    </row>
    <row r="97">
      <c r="A97" s="15"/>
      <c r="B97" s="15"/>
      <c r="C97" s="15"/>
      <c r="D97" s="15"/>
      <c r="I97" s="15"/>
      <c r="P97" s="15"/>
      <c r="Q97" s="15"/>
      <c r="R97" s="15"/>
      <c r="S97" s="15"/>
      <c r="T97" s="15"/>
      <c r="U97" s="15"/>
      <c r="V97" s="15"/>
    </row>
    <row r="98">
      <c r="A98" s="15"/>
      <c r="B98" s="15"/>
      <c r="C98" s="15"/>
      <c r="D98" s="15"/>
      <c r="I98" s="15"/>
      <c r="P98" s="15"/>
      <c r="Q98" s="15"/>
      <c r="R98" s="15"/>
      <c r="S98" s="15"/>
      <c r="T98" s="15"/>
      <c r="U98" s="15"/>
      <c r="V98" s="15"/>
    </row>
    <row r="99">
      <c r="A99" s="15"/>
      <c r="B99" s="15"/>
      <c r="C99" s="15"/>
      <c r="D99" s="15"/>
      <c r="I99" s="15"/>
      <c r="P99" s="15"/>
      <c r="Q99" s="15"/>
      <c r="R99" s="15"/>
      <c r="S99" s="15"/>
      <c r="T99" s="15"/>
      <c r="U99" s="15"/>
      <c r="V99" s="15"/>
    </row>
    <row r="100">
      <c r="A100" s="15"/>
      <c r="B100" s="15"/>
      <c r="C100" s="15"/>
      <c r="D100" s="15"/>
      <c r="I100" s="15"/>
      <c r="P100" s="15"/>
      <c r="Q100" s="15"/>
      <c r="R100" s="15"/>
      <c r="S100" s="15"/>
      <c r="T100" s="15"/>
      <c r="U100" s="15"/>
      <c r="V100" s="15"/>
    </row>
    <row r="101">
      <c r="A101" s="15"/>
      <c r="B101" s="15"/>
      <c r="C101" s="15"/>
      <c r="D101" s="15"/>
      <c r="I101" s="15"/>
      <c r="P101" s="15"/>
      <c r="Q101" s="15"/>
      <c r="R101" s="15"/>
      <c r="S101" s="15"/>
      <c r="T101" s="15"/>
      <c r="U101" s="15"/>
      <c r="V101" s="15"/>
    </row>
    <row r="102">
      <c r="A102" s="15"/>
      <c r="B102" s="15"/>
      <c r="C102" s="15"/>
      <c r="D102" s="15"/>
      <c r="I102" s="15"/>
      <c r="P102" s="15"/>
      <c r="Q102" s="15"/>
      <c r="R102" s="15"/>
      <c r="S102" s="15"/>
      <c r="T102" s="15"/>
      <c r="U102" s="15"/>
      <c r="V102" s="15"/>
    </row>
    <row r="103">
      <c r="A103" s="15"/>
      <c r="B103" s="15"/>
      <c r="C103" s="15"/>
      <c r="D103" s="15"/>
      <c r="I103" s="15"/>
      <c r="P103" s="15"/>
      <c r="Q103" s="15"/>
      <c r="R103" s="15"/>
      <c r="S103" s="15"/>
      <c r="T103" s="15"/>
      <c r="U103" s="15"/>
      <c r="V103" s="15"/>
    </row>
    <row r="104">
      <c r="A104" s="15"/>
      <c r="B104" s="15"/>
      <c r="C104" s="15"/>
      <c r="D104" s="15"/>
      <c r="I104" s="15"/>
      <c r="P104" s="15"/>
      <c r="Q104" s="15"/>
      <c r="R104" s="15"/>
      <c r="S104" s="15"/>
      <c r="T104" s="15"/>
      <c r="U104" s="15"/>
      <c r="V104" s="15"/>
    </row>
    <row r="105">
      <c r="A105" s="15"/>
      <c r="B105" s="15"/>
      <c r="C105" s="15"/>
      <c r="D105" s="15"/>
      <c r="I105" s="15"/>
      <c r="P105" s="15"/>
      <c r="Q105" s="15"/>
      <c r="R105" s="15"/>
      <c r="S105" s="15"/>
      <c r="T105" s="15"/>
      <c r="U105" s="15"/>
      <c r="V105" s="15"/>
    </row>
    <row r="106">
      <c r="A106" s="15"/>
      <c r="B106" s="15"/>
      <c r="C106" s="15"/>
      <c r="D106" s="15"/>
      <c r="I106" s="15"/>
      <c r="P106" s="15"/>
      <c r="Q106" s="15"/>
      <c r="R106" s="15"/>
      <c r="S106" s="15"/>
      <c r="T106" s="15"/>
      <c r="U106" s="15"/>
      <c r="V106" s="15"/>
    </row>
    <row r="107">
      <c r="A107" s="15"/>
      <c r="B107" s="15"/>
      <c r="C107" s="15"/>
      <c r="D107" s="15"/>
      <c r="I107" s="15"/>
      <c r="P107" s="15"/>
      <c r="Q107" s="15"/>
      <c r="R107" s="15"/>
      <c r="S107" s="15"/>
      <c r="T107" s="15"/>
      <c r="U107" s="15"/>
      <c r="V107" s="15"/>
    </row>
    <row r="108">
      <c r="A108" s="15"/>
      <c r="B108" s="15"/>
      <c r="C108" s="15"/>
      <c r="D108" s="15"/>
      <c r="I108" s="15"/>
      <c r="P108" s="15"/>
      <c r="Q108" s="15"/>
      <c r="R108" s="15"/>
      <c r="S108" s="15"/>
      <c r="T108" s="15"/>
      <c r="U108" s="15"/>
      <c r="V108" s="15"/>
    </row>
    <row r="109">
      <c r="A109" s="15"/>
      <c r="B109" s="15"/>
      <c r="C109" s="15"/>
      <c r="D109" s="15"/>
      <c r="I109" s="15"/>
      <c r="P109" s="15"/>
      <c r="Q109" s="15"/>
      <c r="R109" s="15"/>
      <c r="S109" s="15"/>
      <c r="T109" s="15"/>
      <c r="U109" s="15"/>
      <c r="V109" s="15"/>
    </row>
    <row r="110">
      <c r="A110" s="15"/>
      <c r="B110" s="15"/>
      <c r="C110" s="15"/>
      <c r="D110" s="15"/>
      <c r="I110" s="15"/>
      <c r="P110" s="15"/>
      <c r="Q110" s="15"/>
      <c r="R110" s="15"/>
      <c r="S110" s="15"/>
      <c r="T110" s="15"/>
      <c r="U110" s="15"/>
      <c r="V110" s="15"/>
    </row>
    <row r="111">
      <c r="A111" s="15"/>
      <c r="B111" s="15"/>
      <c r="C111" s="15"/>
      <c r="D111" s="15"/>
      <c r="I111" s="15"/>
      <c r="P111" s="15"/>
      <c r="Q111" s="15"/>
      <c r="R111" s="15"/>
      <c r="S111" s="15"/>
      <c r="T111" s="15"/>
      <c r="U111" s="15"/>
      <c r="V111" s="15"/>
    </row>
    <row r="112">
      <c r="A112" s="15"/>
      <c r="B112" s="15"/>
      <c r="C112" s="15"/>
      <c r="D112" s="15"/>
      <c r="I112" s="15"/>
      <c r="P112" s="15"/>
      <c r="Q112" s="15"/>
      <c r="R112" s="15"/>
      <c r="S112" s="15"/>
      <c r="T112" s="15"/>
      <c r="U112" s="15"/>
      <c r="V112" s="15"/>
    </row>
    <row r="113">
      <c r="A113" s="15"/>
      <c r="B113" s="15"/>
      <c r="C113" s="15"/>
      <c r="D113" s="15"/>
      <c r="I113" s="15"/>
      <c r="P113" s="15"/>
      <c r="Q113" s="15"/>
      <c r="R113" s="15"/>
      <c r="S113" s="15"/>
      <c r="T113" s="15"/>
      <c r="U113" s="15"/>
      <c r="V113" s="15"/>
    </row>
    <row r="114">
      <c r="A114" s="15"/>
      <c r="B114" s="15"/>
      <c r="C114" s="15"/>
      <c r="D114" s="15"/>
      <c r="I114" s="15"/>
      <c r="P114" s="15"/>
      <c r="Q114" s="15"/>
      <c r="R114" s="15"/>
      <c r="S114" s="15"/>
      <c r="T114" s="15"/>
      <c r="U114" s="15"/>
      <c r="V114" s="15"/>
    </row>
    <row r="115">
      <c r="A115" s="15"/>
      <c r="B115" s="15"/>
      <c r="C115" s="15"/>
      <c r="D115" s="15"/>
      <c r="I115" s="15"/>
      <c r="P115" s="15"/>
      <c r="Q115" s="15"/>
      <c r="R115" s="15"/>
      <c r="S115" s="15"/>
      <c r="T115" s="15"/>
      <c r="U115" s="15"/>
      <c r="V115" s="15"/>
    </row>
    <row r="116">
      <c r="A116" s="15"/>
      <c r="B116" s="15"/>
      <c r="C116" s="15"/>
      <c r="D116" s="15"/>
      <c r="I116" s="15"/>
      <c r="P116" s="15"/>
      <c r="Q116" s="15"/>
      <c r="R116" s="15"/>
      <c r="S116" s="15"/>
      <c r="T116" s="15"/>
      <c r="U116" s="15"/>
      <c r="V116" s="15"/>
    </row>
    <row r="117">
      <c r="A117" s="15"/>
      <c r="B117" s="15"/>
      <c r="C117" s="15"/>
      <c r="D117" s="15"/>
      <c r="I117" s="15"/>
      <c r="P117" s="15"/>
      <c r="Q117" s="15"/>
      <c r="R117" s="15"/>
      <c r="S117" s="15"/>
      <c r="T117" s="15"/>
      <c r="U117" s="15"/>
      <c r="V117" s="15"/>
    </row>
    <row r="118">
      <c r="A118" s="15"/>
      <c r="B118" s="15"/>
      <c r="C118" s="15"/>
      <c r="D118" s="15"/>
      <c r="I118" s="15"/>
      <c r="P118" s="15"/>
      <c r="Q118" s="15"/>
      <c r="R118" s="15"/>
      <c r="S118" s="15"/>
      <c r="T118" s="15"/>
      <c r="U118" s="15"/>
      <c r="V118" s="15"/>
    </row>
    <row r="119">
      <c r="A119" s="15"/>
      <c r="B119" s="15"/>
      <c r="C119" s="15"/>
      <c r="D119" s="15"/>
      <c r="I119" s="15"/>
      <c r="P119" s="15"/>
      <c r="Q119" s="15"/>
      <c r="R119" s="15"/>
      <c r="S119" s="15"/>
      <c r="T119" s="15"/>
      <c r="U119" s="15"/>
      <c r="V119" s="15"/>
    </row>
    <row r="120">
      <c r="A120" s="15"/>
      <c r="B120" s="15"/>
      <c r="C120" s="15"/>
      <c r="D120" s="15"/>
      <c r="I120" s="15"/>
      <c r="P120" s="15"/>
      <c r="Q120" s="15"/>
      <c r="R120" s="15"/>
      <c r="S120" s="15"/>
      <c r="T120" s="15"/>
      <c r="U120" s="15"/>
      <c r="V120" s="15"/>
    </row>
    <row r="121">
      <c r="A121" s="15"/>
      <c r="B121" s="15"/>
      <c r="C121" s="15"/>
      <c r="D121" s="15"/>
      <c r="I121" s="15"/>
      <c r="P121" s="15"/>
      <c r="Q121" s="15"/>
      <c r="R121" s="15"/>
      <c r="S121" s="15"/>
      <c r="T121" s="15"/>
      <c r="U121" s="15"/>
      <c r="V121" s="15"/>
    </row>
    <row r="122">
      <c r="A122" s="15"/>
      <c r="B122" s="15"/>
      <c r="C122" s="15"/>
      <c r="D122" s="15"/>
      <c r="I122" s="15"/>
      <c r="P122" s="15"/>
      <c r="Q122" s="15"/>
      <c r="R122" s="15"/>
      <c r="S122" s="15"/>
      <c r="T122" s="15"/>
      <c r="U122" s="15"/>
      <c r="V122" s="15"/>
    </row>
    <row r="123">
      <c r="A123" s="15"/>
      <c r="B123" s="15"/>
      <c r="C123" s="15"/>
      <c r="D123" s="15"/>
      <c r="I123" s="15"/>
      <c r="P123" s="15"/>
      <c r="Q123" s="15"/>
      <c r="R123" s="15"/>
      <c r="S123" s="15"/>
      <c r="T123" s="15"/>
      <c r="U123" s="15"/>
      <c r="V123" s="15"/>
    </row>
    <row r="124">
      <c r="A124" s="15"/>
      <c r="B124" s="15"/>
      <c r="C124" s="15"/>
      <c r="D124" s="15"/>
      <c r="I124" s="15"/>
      <c r="P124" s="15"/>
      <c r="Q124" s="15"/>
      <c r="R124" s="15"/>
      <c r="S124" s="15"/>
      <c r="T124" s="15"/>
      <c r="U124" s="15"/>
      <c r="V124" s="15"/>
    </row>
    <row r="125">
      <c r="A125" s="15"/>
      <c r="B125" s="15"/>
      <c r="C125" s="15"/>
      <c r="D125" s="15"/>
      <c r="I125" s="15"/>
      <c r="P125" s="15"/>
      <c r="Q125" s="15"/>
      <c r="R125" s="15"/>
      <c r="S125" s="15"/>
      <c r="T125" s="15"/>
      <c r="U125" s="15"/>
      <c r="V125" s="15"/>
    </row>
    <row r="126">
      <c r="A126" s="15"/>
      <c r="B126" s="15"/>
      <c r="C126" s="15"/>
      <c r="D126" s="15"/>
      <c r="I126" s="15"/>
      <c r="P126" s="15"/>
      <c r="Q126" s="15"/>
      <c r="R126" s="15"/>
      <c r="S126" s="15"/>
      <c r="T126" s="15"/>
      <c r="U126" s="15"/>
      <c r="V126" s="15"/>
    </row>
    <row r="127">
      <c r="A127" s="15"/>
      <c r="B127" s="15"/>
      <c r="C127" s="15"/>
      <c r="D127" s="15"/>
      <c r="I127" s="15"/>
      <c r="P127" s="15"/>
      <c r="Q127" s="15"/>
      <c r="R127" s="15"/>
      <c r="S127" s="15"/>
      <c r="T127" s="15"/>
      <c r="U127" s="15"/>
      <c r="V127" s="15"/>
    </row>
  </sheetData>
  <mergeCells count="47">
    <mergeCell ref="Q25:T29"/>
    <mergeCell ref="J26:L31"/>
    <mergeCell ref="M26:O31"/>
    <mergeCell ref="E28:H33"/>
    <mergeCell ref="Q30:T32"/>
    <mergeCell ref="Q33:T40"/>
    <mergeCell ref="E34:H37"/>
    <mergeCell ref="J39:O39"/>
    <mergeCell ref="J32:O34"/>
    <mergeCell ref="J35:O38"/>
    <mergeCell ref="J40:O50"/>
    <mergeCell ref="R48:T53"/>
    <mergeCell ref="J51:O52"/>
    <mergeCell ref="J53:O56"/>
    <mergeCell ref="J57:O59"/>
    <mergeCell ref="B2:C3"/>
    <mergeCell ref="E2:H2"/>
    <mergeCell ref="J2:O2"/>
    <mergeCell ref="Q2:T2"/>
    <mergeCell ref="E3:H3"/>
    <mergeCell ref="J3:K3"/>
    <mergeCell ref="L3:O3"/>
    <mergeCell ref="Q10:T13"/>
    <mergeCell ref="Q14:T16"/>
    <mergeCell ref="J17:O17"/>
    <mergeCell ref="Q17:T18"/>
    <mergeCell ref="J18:O25"/>
    <mergeCell ref="Q19:T21"/>
    <mergeCell ref="Q22:T24"/>
    <mergeCell ref="Q3:R3"/>
    <mergeCell ref="S3:V3"/>
    <mergeCell ref="E4:H27"/>
    <mergeCell ref="J4:O9"/>
    <mergeCell ref="Q4:T9"/>
    <mergeCell ref="J10:O13"/>
    <mergeCell ref="J14:O16"/>
    <mergeCell ref="E38:H38"/>
    <mergeCell ref="E39:H41"/>
    <mergeCell ref="E42:H45"/>
    <mergeCell ref="E46:H47"/>
    <mergeCell ref="E48:H52"/>
    <mergeCell ref="E53:H64"/>
    <mergeCell ref="R54:T57"/>
    <mergeCell ref="R58:T63"/>
    <mergeCell ref="J60:O69"/>
    <mergeCell ref="R64:T75"/>
    <mergeCell ref="J70:O77"/>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28D9"/>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7.88"/>
    <col customWidth="1" min="2" max="2" width="29.25"/>
    <col customWidth="1" min="3" max="3" width="19.13"/>
    <col customWidth="1" min="4" max="5" width="18.88"/>
    <col customWidth="1" min="6" max="6" width="17.13"/>
    <col customWidth="1" min="7" max="8" width="41.5"/>
    <col customWidth="1" min="9" max="9" width="66.25"/>
    <col customWidth="1" min="10" max="10" width="44.25"/>
  </cols>
  <sheetData>
    <row r="1" ht="33.75" customHeight="1">
      <c r="A1" s="2"/>
      <c r="B1" s="4"/>
      <c r="C1" s="19" t="s">
        <v>3</v>
      </c>
      <c r="D1" s="22"/>
      <c r="E1" s="22"/>
      <c r="F1" s="22"/>
      <c r="G1" s="4"/>
      <c r="H1" s="24"/>
      <c r="I1" s="2"/>
      <c r="J1" s="4"/>
    </row>
    <row r="2" ht="33.75" customHeight="1">
      <c r="A2" s="30" t="s">
        <v>7</v>
      </c>
      <c r="B2" s="30" t="s">
        <v>10</v>
      </c>
      <c r="C2" s="30" t="s">
        <v>11</v>
      </c>
      <c r="D2" s="30" t="s">
        <v>12</v>
      </c>
      <c r="E2" s="31" t="s">
        <v>13</v>
      </c>
      <c r="F2" s="30" t="s">
        <v>14</v>
      </c>
      <c r="G2" s="31" t="s">
        <v>15</v>
      </c>
      <c r="H2" s="31" t="s">
        <v>16</v>
      </c>
      <c r="I2" s="30" t="s">
        <v>17</v>
      </c>
      <c r="J2" s="31" t="s">
        <v>18</v>
      </c>
    </row>
    <row r="3" ht="48.0" customHeight="1">
      <c r="A3" s="36" t="s">
        <v>19</v>
      </c>
      <c r="B3" s="40" t="s">
        <v>20</v>
      </c>
      <c r="C3" s="49" t="s">
        <v>24</v>
      </c>
      <c r="D3" s="49" t="s">
        <v>26</v>
      </c>
      <c r="E3" s="60"/>
      <c r="F3" s="49" t="s">
        <v>29</v>
      </c>
      <c r="G3" s="65" t="s">
        <v>30</v>
      </c>
      <c r="H3" s="65" t="s">
        <v>32</v>
      </c>
      <c r="I3" s="69"/>
      <c r="J3" s="60"/>
    </row>
    <row r="4" ht="49.5" customHeight="1">
      <c r="A4" s="36" t="s">
        <v>19</v>
      </c>
      <c r="B4" s="72" t="s">
        <v>35</v>
      </c>
      <c r="C4" s="49" t="s">
        <v>24</v>
      </c>
      <c r="D4" s="77" t="s">
        <v>36</v>
      </c>
      <c r="E4" s="82"/>
      <c r="F4" s="77" t="s">
        <v>40</v>
      </c>
      <c r="G4" s="85" t="s">
        <v>42</v>
      </c>
      <c r="H4" s="85" t="s">
        <v>44</v>
      </c>
      <c r="I4" s="89"/>
      <c r="J4" s="82"/>
    </row>
    <row r="5" ht="42.0" customHeight="1">
      <c r="A5" s="36" t="s">
        <v>19</v>
      </c>
      <c r="B5" s="40" t="s">
        <v>46</v>
      </c>
      <c r="C5" s="49" t="s">
        <v>24</v>
      </c>
      <c r="D5" s="49" t="s">
        <v>47</v>
      </c>
      <c r="E5" s="60"/>
      <c r="F5" s="49" t="s">
        <v>48</v>
      </c>
      <c r="G5" s="65" t="s">
        <v>49</v>
      </c>
      <c r="H5" s="65" t="s">
        <v>50</v>
      </c>
      <c r="I5" s="69"/>
      <c r="J5" s="60"/>
    </row>
    <row r="6" ht="42.0" customHeight="1">
      <c r="A6" s="36" t="s">
        <v>19</v>
      </c>
      <c r="B6" s="72" t="s">
        <v>51</v>
      </c>
      <c r="C6" s="49" t="s">
        <v>24</v>
      </c>
      <c r="D6" s="77" t="s">
        <v>26</v>
      </c>
      <c r="E6" s="82"/>
      <c r="F6" s="77" t="s">
        <v>52</v>
      </c>
      <c r="G6" s="85" t="s">
        <v>53</v>
      </c>
      <c r="H6" s="85" t="s">
        <v>54</v>
      </c>
      <c r="I6" s="89"/>
      <c r="J6" s="82"/>
    </row>
    <row r="7" ht="42.0" customHeight="1">
      <c r="A7" s="36" t="s">
        <v>55</v>
      </c>
      <c r="B7" s="40" t="s">
        <v>56</v>
      </c>
      <c r="C7" s="49" t="s">
        <v>57</v>
      </c>
      <c r="D7" s="49" t="s">
        <v>26</v>
      </c>
      <c r="E7" s="60"/>
      <c r="F7" s="49" t="s">
        <v>52</v>
      </c>
      <c r="G7" s="65" t="s">
        <v>58</v>
      </c>
      <c r="H7" s="65" t="s">
        <v>59</v>
      </c>
      <c r="I7" s="69"/>
      <c r="J7" s="60"/>
    </row>
    <row r="8" ht="42.0" customHeight="1">
      <c r="A8" s="36" t="s">
        <v>55</v>
      </c>
      <c r="B8" s="72" t="s">
        <v>60</v>
      </c>
      <c r="C8" s="49" t="s">
        <v>61</v>
      </c>
      <c r="D8" s="77" t="s">
        <v>26</v>
      </c>
      <c r="E8" s="82"/>
      <c r="F8" s="77" t="s">
        <v>29</v>
      </c>
      <c r="G8" s="85" t="s">
        <v>62</v>
      </c>
      <c r="H8" s="85" t="s">
        <v>63</v>
      </c>
      <c r="I8" s="89"/>
      <c r="J8" s="82"/>
    </row>
    <row r="9" ht="42.0" customHeight="1">
      <c r="A9" s="36" t="s">
        <v>55</v>
      </c>
      <c r="B9" s="102" t="s">
        <v>64</v>
      </c>
      <c r="C9" s="49" t="s">
        <v>24</v>
      </c>
      <c r="D9" s="77" t="s">
        <v>36</v>
      </c>
      <c r="E9" s="82"/>
      <c r="F9" s="82" t="s">
        <v>65</v>
      </c>
      <c r="G9" s="85" t="s">
        <v>66</v>
      </c>
      <c r="H9" s="85" t="s">
        <v>67</v>
      </c>
      <c r="I9" s="89"/>
      <c r="J9" s="82"/>
    </row>
    <row r="10" ht="42.0" customHeight="1">
      <c r="A10" s="36" t="s">
        <v>55</v>
      </c>
      <c r="B10" s="40" t="s">
        <v>68</v>
      </c>
      <c r="C10" s="49" t="s">
        <v>69</v>
      </c>
      <c r="D10" s="49" t="s">
        <v>47</v>
      </c>
      <c r="E10" s="60"/>
      <c r="F10" s="49" t="s">
        <v>52</v>
      </c>
      <c r="G10" s="65" t="s">
        <v>70</v>
      </c>
      <c r="H10" s="65" t="s">
        <v>71</v>
      </c>
      <c r="I10" s="69"/>
      <c r="J10" s="60"/>
    </row>
    <row r="11" ht="42.0" customHeight="1">
      <c r="A11" s="36" t="s">
        <v>55</v>
      </c>
      <c r="B11" s="72" t="s">
        <v>72</v>
      </c>
      <c r="C11" s="49" t="s">
        <v>57</v>
      </c>
      <c r="D11" s="77" t="s">
        <v>26</v>
      </c>
      <c r="E11" s="82"/>
      <c r="F11" s="77" t="s">
        <v>52</v>
      </c>
      <c r="G11" s="85" t="s">
        <v>74</v>
      </c>
      <c r="H11" s="85" t="s">
        <v>76</v>
      </c>
      <c r="I11" s="89"/>
      <c r="J11" s="82"/>
    </row>
    <row r="12" ht="42.0" customHeight="1">
      <c r="A12" s="36" t="s">
        <v>77</v>
      </c>
      <c r="B12" s="40" t="s">
        <v>78</v>
      </c>
      <c r="C12" s="49" t="s">
        <v>57</v>
      </c>
      <c r="D12" s="49" t="s">
        <v>26</v>
      </c>
      <c r="E12" s="60"/>
      <c r="F12" s="49" t="s">
        <v>52</v>
      </c>
      <c r="G12" s="65" t="s">
        <v>79</v>
      </c>
      <c r="H12" s="65" t="s">
        <v>80</v>
      </c>
      <c r="I12" s="69"/>
      <c r="J12" s="60"/>
    </row>
    <row r="13" ht="47.25" customHeight="1">
      <c r="A13" s="36" t="s">
        <v>77</v>
      </c>
      <c r="B13" s="72" t="s">
        <v>81</v>
      </c>
      <c r="C13" s="49" t="s">
        <v>82</v>
      </c>
      <c r="D13" s="77" t="s">
        <v>26</v>
      </c>
      <c r="E13" s="82"/>
      <c r="F13" s="77" t="s">
        <v>48</v>
      </c>
      <c r="G13" s="85" t="s">
        <v>84</v>
      </c>
      <c r="H13" s="85" t="s">
        <v>85</v>
      </c>
      <c r="I13" s="89"/>
      <c r="J13" s="82"/>
    </row>
    <row r="14" ht="42.0" customHeight="1">
      <c r="A14" s="36" t="s">
        <v>77</v>
      </c>
      <c r="B14" s="118" t="s">
        <v>86</v>
      </c>
      <c r="C14" s="49" t="s">
        <v>89</v>
      </c>
      <c r="D14" s="49" t="s">
        <v>90</v>
      </c>
      <c r="E14" s="60"/>
      <c r="F14" s="49" t="s">
        <v>40</v>
      </c>
      <c r="G14" s="65" t="s">
        <v>91</v>
      </c>
      <c r="H14" s="65" t="s">
        <v>92</v>
      </c>
      <c r="I14" s="69"/>
      <c r="J14" s="60"/>
    </row>
    <row r="15" ht="42.0" customHeight="1">
      <c r="A15" s="36" t="s">
        <v>77</v>
      </c>
      <c r="B15" s="72" t="s">
        <v>94</v>
      </c>
      <c r="C15" s="49" t="s">
        <v>69</v>
      </c>
      <c r="D15" s="77" t="s">
        <v>90</v>
      </c>
      <c r="E15" s="82"/>
      <c r="F15" s="77" t="s">
        <v>96</v>
      </c>
      <c r="G15" s="85" t="s">
        <v>97</v>
      </c>
      <c r="H15" s="85" t="s">
        <v>98</v>
      </c>
      <c r="I15" s="89"/>
      <c r="J15" s="82"/>
    </row>
    <row r="16" ht="42.0" customHeight="1">
      <c r="A16" s="127" t="s">
        <v>77</v>
      </c>
      <c r="B16" s="102" t="s">
        <v>102</v>
      </c>
      <c r="C16" s="129" t="s">
        <v>61</v>
      </c>
      <c r="D16" s="133" t="s">
        <v>90</v>
      </c>
      <c r="E16" s="136"/>
      <c r="F16" s="133" t="s">
        <v>96</v>
      </c>
      <c r="G16" s="139" t="s">
        <v>108</v>
      </c>
      <c r="H16" s="139" t="s">
        <v>111</v>
      </c>
      <c r="I16" s="136"/>
      <c r="J16" s="136"/>
      <c r="K16" s="144"/>
      <c r="L16" s="144"/>
      <c r="M16" s="144"/>
      <c r="N16" s="144"/>
      <c r="O16" s="144"/>
      <c r="P16" s="144"/>
      <c r="Q16" s="144"/>
      <c r="R16" s="144"/>
      <c r="S16" s="144"/>
      <c r="T16" s="144"/>
      <c r="U16" s="144"/>
      <c r="V16" s="144"/>
      <c r="W16" s="144"/>
      <c r="X16" s="144"/>
      <c r="Y16" s="144"/>
      <c r="Z16" s="144"/>
      <c r="AA16" s="144"/>
      <c r="AB16" s="144"/>
    </row>
    <row r="17" ht="42.0" customHeight="1">
      <c r="A17" s="36" t="s">
        <v>77</v>
      </c>
      <c r="B17" s="40" t="s">
        <v>112</v>
      </c>
      <c r="C17" s="49" t="s">
        <v>113</v>
      </c>
      <c r="D17" s="49" t="s">
        <v>26</v>
      </c>
      <c r="E17" s="60"/>
      <c r="F17" s="49" t="s">
        <v>40</v>
      </c>
      <c r="G17" s="65" t="s">
        <v>115</v>
      </c>
      <c r="H17" s="65" t="s">
        <v>116</v>
      </c>
      <c r="I17" s="69"/>
      <c r="J17" s="60"/>
    </row>
    <row r="18" ht="42.0" customHeight="1">
      <c r="A18" s="36" t="s">
        <v>77</v>
      </c>
      <c r="B18" s="72" t="s">
        <v>117</v>
      </c>
      <c r="C18" s="49"/>
      <c r="D18" s="77" t="s">
        <v>26</v>
      </c>
      <c r="E18" s="82"/>
      <c r="F18" s="77" t="s">
        <v>52</v>
      </c>
      <c r="G18" s="85" t="s">
        <v>118</v>
      </c>
      <c r="H18" s="85" t="s">
        <v>120</v>
      </c>
      <c r="I18" s="89"/>
      <c r="J18" s="82"/>
    </row>
    <row r="19" ht="42.0" customHeight="1">
      <c r="A19" s="36" t="s">
        <v>77</v>
      </c>
      <c r="B19" s="40" t="s">
        <v>121</v>
      </c>
      <c r="C19" s="49" t="s">
        <v>57</v>
      </c>
      <c r="D19" s="49" t="s">
        <v>26</v>
      </c>
      <c r="E19" s="60"/>
      <c r="F19" s="49" t="s">
        <v>52</v>
      </c>
      <c r="G19" s="65" t="s">
        <v>122</v>
      </c>
      <c r="H19" s="65" t="s">
        <v>123</v>
      </c>
      <c r="I19" s="69"/>
      <c r="J19" s="60"/>
    </row>
    <row r="20" ht="42.0" customHeight="1">
      <c r="A20" s="36" t="s">
        <v>124</v>
      </c>
      <c r="B20" s="72" t="s">
        <v>125</v>
      </c>
      <c r="C20" s="49" t="s">
        <v>57</v>
      </c>
      <c r="D20" s="77" t="s">
        <v>26</v>
      </c>
      <c r="E20" s="82"/>
      <c r="F20" s="77" t="s">
        <v>52</v>
      </c>
      <c r="G20" s="85" t="s">
        <v>126</v>
      </c>
      <c r="H20" s="85" t="s">
        <v>127</v>
      </c>
      <c r="I20" s="89"/>
      <c r="J20" s="82"/>
    </row>
    <row r="21" ht="42.0" customHeight="1">
      <c r="A21" s="36" t="s">
        <v>124</v>
      </c>
      <c r="B21" s="40" t="s">
        <v>106</v>
      </c>
      <c r="C21" s="49" t="s">
        <v>24</v>
      </c>
      <c r="D21" s="49" t="s">
        <v>36</v>
      </c>
      <c r="E21" s="60"/>
      <c r="F21" s="49" t="s">
        <v>29</v>
      </c>
      <c r="G21" s="65" t="s">
        <v>129</v>
      </c>
      <c r="H21" s="65" t="s">
        <v>130</v>
      </c>
      <c r="I21" s="69"/>
      <c r="J21" s="60"/>
    </row>
    <row r="22" ht="42.0" customHeight="1">
      <c r="A22" s="36" t="s">
        <v>124</v>
      </c>
      <c r="B22" s="40" t="s">
        <v>132</v>
      </c>
      <c r="C22" s="49" t="s">
        <v>61</v>
      </c>
      <c r="D22" s="77" t="s">
        <v>26</v>
      </c>
      <c r="E22" s="82"/>
      <c r="F22" s="77" t="s">
        <v>65</v>
      </c>
      <c r="G22" s="85" t="s">
        <v>133</v>
      </c>
      <c r="H22" s="85" t="s">
        <v>134</v>
      </c>
      <c r="I22" s="89"/>
      <c r="J22" s="82"/>
    </row>
    <row r="23" ht="42.0" customHeight="1">
      <c r="A23" s="36" t="s">
        <v>124</v>
      </c>
      <c r="B23" s="161" t="s">
        <v>135</v>
      </c>
      <c r="C23" s="49" t="s">
        <v>82</v>
      </c>
      <c r="D23" s="49" t="s">
        <v>26</v>
      </c>
      <c r="E23" s="60"/>
      <c r="F23" s="49" t="s">
        <v>65</v>
      </c>
      <c r="G23" s="65" t="s">
        <v>138</v>
      </c>
      <c r="H23" s="65" t="s">
        <v>139</v>
      </c>
      <c r="I23" s="69"/>
      <c r="J23" s="60"/>
    </row>
    <row r="24" ht="42.0" customHeight="1">
      <c r="A24" s="36" t="s">
        <v>124</v>
      </c>
      <c r="B24" s="102" t="s">
        <v>140</v>
      </c>
      <c r="C24" s="49" t="s">
        <v>113</v>
      </c>
      <c r="D24" s="77" t="s">
        <v>90</v>
      </c>
      <c r="E24" s="82"/>
      <c r="F24" s="77" t="s">
        <v>52</v>
      </c>
      <c r="G24" s="85" t="s">
        <v>141</v>
      </c>
      <c r="H24" s="85" t="s">
        <v>142</v>
      </c>
      <c r="I24" s="89"/>
      <c r="J24" s="82"/>
    </row>
    <row r="25" ht="42.0" customHeight="1">
      <c r="A25" s="36" t="s">
        <v>124</v>
      </c>
      <c r="B25" s="40" t="s">
        <v>143</v>
      </c>
      <c r="C25" s="49" t="s">
        <v>57</v>
      </c>
      <c r="D25" s="49" t="s">
        <v>47</v>
      </c>
      <c r="E25" s="60"/>
      <c r="F25" s="49" t="s">
        <v>52</v>
      </c>
      <c r="G25" s="65" t="s">
        <v>145</v>
      </c>
      <c r="H25" s="65" t="s">
        <v>146</v>
      </c>
      <c r="I25" s="69"/>
      <c r="J25" s="60"/>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1:B1"/>
    <mergeCell ref="C1:G1"/>
    <mergeCell ref="I1:J1"/>
  </mergeCells>
  <dataValidations>
    <dataValidation type="list" allowBlank="1" sqref="F3:F25">
      <formula1>"Keynote,Workshop,Lead,Other,Alignment,simulation"</formula1>
    </dataValidation>
    <dataValidation type="list" allowBlank="1" sqref="D3 D4:E25">
      <formula1>"15 mins,30 mins,45 mins,1 hour,1hr 15 mins,1hr 30 mins,1hr 45 mins,2 hrs,3 hrs"</formula1>
    </dataValidation>
    <dataValidation type="list" allowBlank="1" showErrorMessage="1" sqref="C3:C25">
      <formula1>"iman,Soukaina,oussama,meryem,wadii,chair,LCVPs"</formula1>
    </dataValidation>
    <dataValidation type="list" allowBlank="1" sqref="E3">
      <formula1>"Aya,Basma,Mouatassim,Omar,Sara,Chaimae,Salah Eddine,Noureddine"</formula1>
    </dataValidation>
  </dataValidations>
  <hyperlinks>
    <hyperlink r:id="rId1" ref="C1"/>
  </hyperlinks>
  <printOptions gridLines="1" horizontalCentered="1"/>
  <pageMargins bottom="0.75" footer="0.0" header="0.0" left="0.7" right="0.7" top="0.75"/>
  <pageSetup fitToHeight="0"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7706"/>
    <outlinePr summaryBelow="0" summaryRight="0"/>
    <pageSetUpPr fitToPage="1"/>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38"/>
    <col customWidth="1" min="4" max="4" width="1.13"/>
    <col customWidth="1" min="5" max="5" width="14.63"/>
    <col customWidth="1" min="6" max="6" width="14.38"/>
    <col customWidth="1" min="7" max="7" width="13.75"/>
    <col customWidth="1" min="8" max="8" width="14.13"/>
    <col customWidth="1" min="13" max="13" width="1.75"/>
    <col customWidth="1" min="16" max="16" width="17.75"/>
    <col customWidth="1" min="20" max="20" width="1.5"/>
    <col customWidth="1" min="22" max="22" width="17.63"/>
    <col customWidth="1" min="23" max="23" width="27.75"/>
    <col customWidth="1" min="24" max="24" width="31.5"/>
    <col customWidth="1" min="25" max="26" width="3.75"/>
  </cols>
  <sheetData>
    <row r="1" ht="18.75" customHeight="1">
      <c r="A1" s="5" t="s">
        <v>0</v>
      </c>
      <c r="B1" s="9"/>
      <c r="C1" s="9"/>
      <c r="D1" s="9"/>
      <c r="E1" s="9"/>
      <c r="F1" s="9"/>
      <c r="G1" s="9"/>
      <c r="H1" s="9"/>
      <c r="I1" s="9"/>
      <c r="J1" s="9"/>
      <c r="K1" s="9"/>
      <c r="L1" s="9"/>
      <c r="M1" s="9"/>
      <c r="N1" s="9"/>
      <c r="O1" s="9"/>
      <c r="P1" s="9"/>
      <c r="Q1" s="9"/>
      <c r="R1" s="9"/>
      <c r="S1" s="9"/>
      <c r="T1" s="9"/>
      <c r="U1" s="9"/>
      <c r="V1" s="9"/>
      <c r="W1" s="9"/>
      <c r="X1" s="13"/>
      <c r="Y1" s="9"/>
      <c r="Z1" s="15"/>
    </row>
    <row r="2">
      <c r="A2" s="21" t="s">
        <v>5</v>
      </c>
      <c r="B2" s="25" t="s">
        <v>6</v>
      </c>
      <c r="C2" s="27"/>
      <c r="D2" s="28"/>
      <c r="E2" s="177" t="s">
        <v>148</v>
      </c>
      <c r="F2" s="35"/>
      <c r="G2" s="35"/>
      <c r="H2" s="38"/>
      <c r="I2" s="32" t="s">
        <v>8</v>
      </c>
      <c r="J2" s="35"/>
      <c r="K2" s="35"/>
      <c r="L2" s="38"/>
      <c r="M2" s="28"/>
      <c r="N2" s="41" t="s">
        <v>21</v>
      </c>
      <c r="O2" s="35"/>
      <c r="P2" s="35"/>
      <c r="Q2" s="35"/>
      <c r="R2" s="35"/>
      <c r="S2" s="38"/>
      <c r="T2" s="28"/>
      <c r="U2" s="45" t="s">
        <v>22</v>
      </c>
      <c r="V2" s="35"/>
      <c r="W2" s="35"/>
      <c r="X2" s="38"/>
      <c r="Y2" s="9"/>
      <c r="Z2" s="15"/>
    </row>
    <row r="3">
      <c r="A3" s="48" t="s">
        <v>23</v>
      </c>
      <c r="B3" s="53"/>
      <c r="C3" s="56"/>
      <c r="D3" s="59"/>
      <c r="E3" s="183" t="s">
        <v>153</v>
      </c>
      <c r="F3" s="35"/>
      <c r="G3" s="35"/>
      <c r="H3" s="38"/>
      <c r="I3" s="62" t="s">
        <v>28</v>
      </c>
      <c r="J3" s="35"/>
      <c r="K3" s="35"/>
      <c r="L3" s="38"/>
      <c r="M3" s="59"/>
      <c r="N3" s="66" t="s">
        <v>31</v>
      </c>
      <c r="O3" s="68"/>
      <c r="P3" s="71" t="s">
        <v>38</v>
      </c>
      <c r="Q3" s="68"/>
      <c r="R3" s="68"/>
      <c r="S3" s="68"/>
      <c r="T3" s="75"/>
      <c r="U3" s="66" t="s">
        <v>31</v>
      </c>
      <c r="V3" s="68"/>
      <c r="W3" s="71" t="s">
        <v>38</v>
      </c>
      <c r="X3" s="68"/>
      <c r="Y3" s="68"/>
      <c r="Z3" s="68"/>
    </row>
    <row r="4">
      <c r="A4" s="9"/>
      <c r="B4" s="81">
        <v>0.3333333333333333</v>
      </c>
      <c r="C4" s="81">
        <v>0.34375</v>
      </c>
      <c r="D4" s="9"/>
      <c r="E4" s="88" t="s">
        <v>41</v>
      </c>
      <c r="F4" s="68"/>
      <c r="G4" s="68"/>
      <c r="H4" s="27"/>
      <c r="I4" s="88" t="s">
        <v>41</v>
      </c>
      <c r="J4" s="68"/>
      <c r="K4" s="68"/>
      <c r="L4" s="27"/>
      <c r="M4" s="13"/>
      <c r="N4" s="91" t="s">
        <v>45</v>
      </c>
      <c r="O4" s="94"/>
      <c r="P4" s="94"/>
      <c r="Q4" s="94"/>
      <c r="R4" s="94"/>
      <c r="S4" s="95"/>
      <c r="T4" s="99"/>
      <c r="U4" s="91" t="s">
        <v>45</v>
      </c>
      <c r="V4" s="94"/>
      <c r="W4" s="94"/>
      <c r="X4" s="95"/>
      <c r="Y4" s="9"/>
      <c r="Z4" s="15"/>
    </row>
    <row r="5">
      <c r="A5" s="9"/>
      <c r="B5" s="106">
        <v>0.34375</v>
      </c>
      <c r="C5" s="106">
        <v>0.3541666666666667</v>
      </c>
      <c r="D5" s="9"/>
      <c r="E5" s="109"/>
      <c r="H5" s="110"/>
      <c r="I5" s="109"/>
      <c r="L5" s="110"/>
      <c r="M5" s="13"/>
      <c r="N5" s="112"/>
      <c r="S5" s="114"/>
      <c r="T5" s="99"/>
      <c r="U5" s="112"/>
      <c r="X5" s="114"/>
      <c r="Y5" s="9"/>
      <c r="Z5" s="15"/>
    </row>
    <row r="6">
      <c r="A6" s="9"/>
      <c r="B6" s="81">
        <v>0.3541666666666667</v>
      </c>
      <c r="C6" s="81">
        <v>0.3645833333333333</v>
      </c>
      <c r="D6" s="9"/>
      <c r="E6" s="109"/>
      <c r="H6" s="110"/>
      <c r="I6" s="109"/>
      <c r="L6" s="110"/>
      <c r="M6" s="13"/>
      <c r="N6" s="112"/>
      <c r="S6" s="114"/>
      <c r="T6" s="99"/>
      <c r="U6" s="112"/>
      <c r="X6" s="114"/>
      <c r="Y6" s="9"/>
      <c r="Z6" s="15"/>
    </row>
    <row r="7">
      <c r="A7" s="9"/>
      <c r="B7" s="106">
        <v>0.3645833333333333</v>
      </c>
      <c r="C7" s="106">
        <v>0.375</v>
      </c>
      <c r="D7" s="9"/>
      <c r="E7" s="109"/>
      <c r="H7" s="110"/>
      <c r="I7" s="109"/>
      <c r="L7" s="110"/>
      <c r="M7" s="13"/>
      <c r="N7" s="112"/>
      <c r="S7" s="114"/>
      <c r="T7" s="99"/>
      <c r="U7" s="112"/>
      <c r="X7" s="114"/>
      <c r="Y7" s="9"/>
      <c r="Z7" s="15"/>
    </row>
    <row r="8">
      <c r="A8" s="9"/>
      <c r="B8" s="81">
        <v>0.375</v>
      </c>
      <c r="C8" s="81">
        <v>0.3854166666666667</v>
      </c>
      <c r="D8" s="9"/>
      <c r="E8" s="109"/>
      <c r="H8" s="110"/>
      <c r="I8" s="109"/>
      <c r="L8" s="110"/>
      <c r="M8" s="13"/>
      <c r="N8" s="112"/>
      <c r="S8" s="114"/>
      <c r="T8" s="99"/>
      <c r="U8" s="112"/>
      <c r="X8" s="114"/>
      <c r="Y8" s="9"/>
      <c r="Z8" s="15"/>
    </row>
    <row r="9">
      <c r="A9" s="9"/>
      <c r="B9" s="106">
        <v>0.3854166666666667</v>
      </c>
      <c r="C9" s="106">
        <v>0.3958333333333333</v>
      </c>
      <c r="D9" s="9"/>
      <c r="E9" s="109"/>
      <c r="H9" s="110"/>
      <c r="I9" s="109"/>
      <c r="L9" s="110"/>
      <c r="M9" s="13"/>
      <c r="N9" s="117"/>
      <c r="O9" s="120"/>
      <c r="P9" s="120"/>
      <c r="Q9" s="120"/>
      <c r="R9" s="120"/>
      <c r="S9" s="122"/>
      <c r="T9" s="99"/>
      <c r="U9" s="117"/>
      <c r="V9" s="120"/>
      <c r="W9" s="120"/>
      <c r="X9" s="122"/>
      <c r="Y9" s="9"/>
      <c r="Z9" s="15"/>
    </row>
    <row r="10">
      <c r="A10" s="9"/>
      <c r="B10" s="81">
        <v>0.3958333333333333</v>
      </c>
      <c r="C10" s="81">
        <v>0.40625</v>
      </c>
      <c r="D10" s="9"/>
      <c r="E10" s="109"/>
      <c r="H10" s="110"/>
      <c r="I10" s="109"/>
      <c r="L10" s="110"/>
      <c r="M10" s="13"/>
      <c r="N10" s="125" t="s">
        <v>95</v>
      </c>
      <c r="O10" s="94"/>
      <c r="P10" s="94"/>
      <c r="Q10" s="94"/>
      <c r="R10" s="94"/>
      <c r="S10" s="95"/>
      <c r="T10" s="99"/>
      <c r="U10" s="125" t="s">
        <v>95</v>
      </c>
      <c r="V10" s="94"/>
      <c r="W10" s="94"/>
      <c r="X10" s="94"/>
      <c r="Y10" s="9"/>
      <c r="Z10" s="15"/>
    </row>
    <row r="11">
      <c r="A11" s="9"/>
      <c r="B11" s="106">
        <v>0.40625</v>
      </c>
      <c r="C11" s="106">
        <v>0.4166666666666667</v>
      </c>
      <c r="D11" s="9"/>
      <c r="E11" s="109"/>
      <c r="H11" s="110"/>
      <c r="I11" s="109"/>
      <c r="L11" s="110"/>
      <c r="M11" s="13"/>
      <c r="N11" s="112"/>
      <c r="S11" s="114"/>
      <c r="T11" s="99"/>
      <c r="U11" s="112"/>
      <c r="Y11" s="9"/>
      <c r="Z11" s="15"/>
    </row>
    <row r="12">
      <c r="A12" s="9"/>
      <c r="B12" s="81">
        <v>0.4166666666666667</v>
      </c>
      <c r="C12" s="81">
        <v>0.4270833333333333</v>
      </c>
      <c r="D12" s="9"/>
      <c r="E12" s="109"/>
      <c r="H12" s="110"/>
      <c r="I12" s="109"/>
      <c r="L12" s="110"/>
      <c r="M12" s="13"/>
      <c r="N12" s="112"/>
      <c r="S12" s="114"/>
      <c r="T12" s="99"/>
      <c r="U12" s="112"/>
      <c r="Y12" s="9"/>
      <c r="Z12" s="15"/>
    </row>
    <row r="13">
      <c r="A13" s="9"/>
      <c r="B13" s="106">
        <v>0.4270833333333333</v>
      </c>
      <c r="C13" s="106">
        <v>0.4375</v>
      </c>
      <c r="D13" s="9"/>
      <c r="E13" s="109"/>
      <c r="H13" s="110"/>
      <c r="I13" s="109"/>
      <c r="L13" s="110"/>
      <c r="M13" s="13"/>
      <c r="N13" s="117"/>
      <c r="O13" s="120"/>
      <c r="P13" s="120"/>
      <c r="Q13" s="120"/>
      <c r="R13" s="120"/>
      <c r="S13" s="122"/>
      <c r="T13" s="99"/>
      <c r="U13" s="117"/>
      <c r="V13" s="120"/>
      <c r="W13" s="120"/>
      <c r="X13" s="120"/>
      <c r="Y13" s="9"/>
      <c r="Z13" s="15"/>
    </row>
    <row r="14" ht="27.0" customHeight="1">
      <c r="A14" s="9"/>
      <c r="B14" s="81">
        <v>0.4375</v>
      </c>
      <c r="C14" s="81">
        <v>0.4479166666666667</v>
      </c>
      <c r="D14" s="9"/>
      <c r="E14" s="109"/>
      <c r="H14" s="110"/>
      <c r="I14" s="109"/>
      <c r="L14" s="110"/>
      <c r="M14" s="13"/>
      <c r="N14" s="131" t="s">
        <v>81</v>
      </c>
      <c r="O14" s="94"/>
      <c r="P14" s="94"/>
      <c r="Q14" s="94"/>
      <c r="R14" s="94"/>
      <c r="S14" s="95"/>
      <c r="T14" s="99"/>
      <c r="U14" s="134" t="s">
        <v>106</v>
      </c>
      <c r="V14" s="94"/>
      <c r="W14" s="94"/>
      <c r="X14" s="95"/>
      <c r="Y14" s="9"/>
      <c r="Z14" s="15"/>
    </row>
    <row r="15">
      <c r="A15" s="9"/>
      <c r="B15" s="106">
        <v>0.4479166666666667</v>
      </c>
      <c r="C15" s="106">
        <v>0.4583333333333333</v>
      </c>
      <c r="D15" s="9"/>
      <c r="E15" s="109"/>
      <c r="H15" s="110"/>
      <c r="I15" s="109"/>
      <c r="L15" s="110"/>
      <c r="M15" s="13"/>
      <c r="N15" s="112"/>
      <c r="S15" s="114"/>
      <c r="T15" s="99"/>
      <c r="U15" s="112"/>
      <c r="X15" s="114"/>
      <c r="Y15" s="9"/>
      <c r="Z15" s="15"/>
    </row>
    <row r="16">
      <c r="A16" s="9"/>
      <c r="B16" s="81">
        <v>0.4583333333333333</v>
      </c>
      <c r="C16" s="81">
        <v>0.46875</v>
      </c>
      <c r="D16" s="9"/>
      <c r="E16" s="109"/>
      <c r="H16" s="110"/>
      <c r="I16" s="109"/>
      <c r="L16" s="110"/>
      <c r="M16" s="13"/>
      <c r="N16" s="117"/>
      <c r="O16" s="120"/>
      <c r="P16" s="120"/>
      <c r="Q16" s="120"/>
      <c r="R16" s="120"/>
      <c r="S16" s="122"/>
      <c r="T16" s="99"/>
      <c r="U16" s="112"/>
      <c r="X16" s="114"/>
      <c r="Y16" s="9"/>
      <c r="Z16" s="15"/>
    </row>
    <row r="17">
      <c r="A17" s="9"/>
      <c r="B17" s="106">
        <v>0.46875</v>
      </c>
      <c r="C17" s="106">
        <v>0.4791666666666667</v>
      </c>
      <c r="D17" s="9"/>
      <c r="E17" s="109"/>
      <c r="H17" s="110"/>
      <c r="I17" s="109"/>
      <c r="L17" s="110"/>
      <c r="M17" s="13"/>
      <c r="N17" s="141" t="s">
        <v>109</v>
      </c>
      <c r="O17" s="94"/>
      <c r="P17" s="94"/>
      <c r="Q17" s="94"/>
      <c r="R17" s="94"/>
      <c r="S17" s="95"/>
      <c r="T17" s="99"/>
      <c r="U17" s="141" t="s">
        <v>109</v>
      </c>
      <c r="V17" s="94"/>
      <c r="W17" s="94"/>
      <c r="X17" s="95"/>
      <c r="Y17" s="9"/>
      <c r="Z17" s="15"/>
    </row>
    <row r="18">
      <c r="A18" s="9"/>
      <c r="B18" s="81">
        <v>0.4791666666666667</v>
      </c>
      <c r="C18" s="81">
        <v>0.4895833333333333</v>
      </c>
      <c r="D18" s="9"/>
      <c r="E18" s="109"/>
      <c r="H18" s="110"/>
      <c r="I18" s="109"/>
      <c r="L18" s="110"/>
      <c r="M18" s="13"/>
      <c r="N18" s="148" t="s">
        <v>86</v>
      </c>
      <c r="O18" s="80"/>
      <c r="P18" s="80"/>
      <c r="Q18" s="80"/>
      <c r="R18" s="80"/>
      <c r="S18" s="150"/>
      <c r="T18" s="152"/>
      <c r="U18" s="112"/>
      <c r="X18" s="114"/>
      <c r="Y18" s="154"/>
      <c r="Z18" s="15"/>
    </row>
    <row r="19" ht="18.75" customHeight="1">
      <c r="A19" s="9"/>
      <c r="B19" s="106">
        <v>0.4895833333333333</v>
      </c>
      <c r="C19" s="106">
        <v>0.5</v>
      </c>
      <c r="D19" s="9"/>
      <c r="E19" s="109"/>
      <c r="H19" s="110"/>
      <c r="I19" s="109"/>
      <c r="L19" s="110"/>
      <c r="M19" s="13"/>
      <c r="N19" s="155"/>
      <c r="S19" s="156"/>
      <c r="T19" s="158"/>
      <c r="U19" s="159" t="s">
        <v>131</v>
      </c>
      <c r="V19" s="68"/>
      <c r="W19" s="68"/>
      <c r="X19" s="27"/>
      <c r="Y19" s="154"/>
      <c r="Z19" s="15"/>
    </row>
    <row r="20" ht="18.75" customHeight="1">
      <c r="A20" s="9"/>
      <c r="B20" s="81">
        <v>0.5</v>
      </c>
      <c r="C20" s="81">
        <v>0.5104166666666666</v>
      </c>
      <c r="D20" s="9"/>
      <c r="E20" s="109"/>
      <c r="H20" s="110"/>
      <c r="I20" s="109"/>
      <c r="L20" s="110"/>
      <c r="M20" s="13"/>
      <c r="N20" s="155"/>
      <c r="S20" s="156"/>
      <c r="T20" s="158"/>
      <c r="U20" s="109"/>
      <c r="X20" s="110"/>
      <c r="Y20" s="154"/>
      <c r="Z20" s="15"/>
    </row>
    <row r="21" ht="16.5" customHeight="1">
      <c r="A21" s="9"/>
      <c r="B21" s="106">
        <v>0.5104166666666666</v>
      </c>
      <c r="C21" s="106">
        <v>0.5208333333333334</v>
      </c>
      <c r="D21" s="9"/>
      <c r="E21" s="109"/>
      <c r="H21" s="110"/>
      <c r="I21" s="109"/>
      <c r="L21" s="110"/>
      <c r="M21" s="13"/>
      <c r="N21" s="167"/>
      <c r="O21" s="169"/>
      <c r="P21" s="169"/>
      <c r="Q21" s="169"/>
      <c r="R21" s="169"/>
      <c r="S21" s="170"/>
      <c r="T21" s="158"/>
      <c r="U21" s="109"/>
      <c r="X21" s="110"/>
      <c r="Y21" s="154"/>
      <c r="Z21" s="15"/>
    </row>
    <row r="22">
      <c r="A22" s="9"/>
      <c r="B22" s="81">
        <v>0.5208333333333334</v>
      </c>
      <c r="C22" s="81">
        <v>0.53125</v>
      </c>
      <c r="D22" s="9"/>
      <c r="E22" s="109"/>
      <c r="H22" s="110"/>
      <c r="I22" s="109"/>
      <c r="L22" s="110"/>
      <c r="M22" s="13"/>
      <c r="N22" s="176" t="s">
        <v>94</v>
      </c>
      <c r="O22" s="68"/>
      <c r="P22" s="68"/>
      <c r="Q22" s="68"/>
      <c r="R22" s="68"/>
      <c r="S22" s="202"/>
      <c r="T22" s="158"/>
      <c r="U22" s="204" t="s">
        <v>159</v>
      </c>
      <c r="Y22" s="154"/>
      <c r="Z22" s="15"/>
    </row>
    <row r="23">
      <c r="A23" s="9"/>
      <c r="B23" s="106">
        <v>0.53125</v>
      </c>
      <c r="C23" s="106">
        <v>0.5416666666666666</v>
      </c>
      <c r="D23" s="9"/>
      <c r="E23" s="109"/>
      <c r="H23" s="110"/>
      <c r="I23" s="109"/>
      <c r="L23" s="110"/>
      <c r="M23" s="13"/>
      <c r="N23" s="155"/>
      <c r="S23" s="156"/>
      <c r="T23" s="158"/>
      <c r="U23" s="109"/>
      <c r="Y23" s="154"/>
      <c r="Z23" s="15"/>
    </row>
    <row r="24">
      <c r="A24" s="9"/>
      <c r="B24" s="81">
        <v>0.5416666666666666</v>
      </c>
      <c r="C24" s="81">
        <v>0.5520833333333334</v>
      </c>
      <c r="D24" s="9"/>
      <c r="E24" s="109"/>
      <c r="H24" s="110"/>
      <c r="I24" s="109"/>
      <c r="L24" s="110"/>
      <c r="M24" s="13"/>
      <c r="N24" s="155"/>
      <c r="S24" s="156"/>
      <c r="T24" s="158"/>
      <c r="U24" s="109"/>
      <c r="Y24" s="165"/>
      <c r="Z24" s="166"/>
    </row>
    <row r="25">
      <c r="A25" s="9"/>
      <c r="B25" s="106">
        <v>0.5520833333333334</v>
      </c>
      <c r="C25" s="106">
        <v>0.5625</v>
      </c>
      <c r="D25" s="9"/>
      <c r="E25" s="109"/>
      <c r="H25" s="110"/>
      <c r="I25" s="109"/>
      <c r="L25" s="110"/>
      <c r="M25" s="13"/>
      <c r="N25" s="155"/>
      <c r="S25" s="156"/>
      <c r="T25" s="171"/>
      <c r="U25" s="173" t="s">
        <v>147</v>
      </c>
      <c r="Y25" s="165"/>
      <c r="Z25" s="166"/>
    </row>
    <row r="26">
      <c r="A26" s="9"/>
      <c r="B26" s="81">
        <v>0.5625</v>
      </c>
      <c r="C26" s="81">
        <v>0.5729166666666666</v>
      </c>
      <c r="D26" s="9"/>
      <c r="E26" s="109"/>
      <c r="H26" s="110"/>
      <c r="I26" s="109"/>
      <c r="L26" s="110"/>
      <c r="M26" s="13"/>
      <c r="N26" s="155"/>
      <c r="S26" s="156"/>
      <c r="T26" s="171"/>
      <c r="U26" s="112"/>
      <c r="Y26" s="180"/>
      <c r="Z26" s="166"/>
    </row>
    <row r="27">
      <c r="A27" s="9"/>
      <c r="B27" s="106">
        <v>0.5729166666666666</v>
      </c>
      <c r="C27" s="106">
        <v>0.5833333333333334</v>
      </c>
      <c r="D27" s="9"/>
      <c r="E27" s="109"/>
      <c r="H27" s="110"/>
      <c r="I27" s="109"/>
      <c r="L27" s="110"/>
      <c r="M27" s="13"/>
      <c r="N27" s="98"/>
      <c r="O27" s="100"/>
      <c r="P27" s="100"/>
      <c r="Q27" s="100"/>
      <c r="R27" s="100"/>
      <c r="S27" s="209"/>
      <c r="T27" s="99"/>
      <c r="U27" s="112"/>
      <c r="Y27" s="180"/>
      <c r="Z27" s="166"/>
    </row>
    <row r="28">
      <c r="A28" s="9"/>
      <c r="B28" s="81">
        <v>0.5833333333333334</v>
      </c>
      <c r="C28" s="81">
        <v>0.59375</v>
      </c>
      <c r="D28" s="9"/>
      <c r="E28" s="109"/>
      <c r="H28" s="110"/>
      <c r="I28" s="109"/>
      <c r="L28" s="110"/>
      <c r="M28" s="13"/>
      <c r="N28" s="188" t="s">
        <v>155</v>
      </c>
      <c r="S28" s="110"/>
      <c r="T28" s="152"/>
      <c r="U28" s="112"/>
      <c r="Y28" s="154"/>
      <c r="Z28" s="15"/>
    </row>
    <row r="29">
      <c r="A29" s="9"/>
      <c r="B29" s="106">
        <v>0.59375</v>
      </c>
      <c r="C29" s="106">
        <v>0.6041666666666666</v>
      </c>
      <c r="D29" s="9"/>
      <c r="E29" s="109"/>
      <c r="H29" s="110"/>
      <c r="I29" s="109"/>
      <c r="L29" s="110"/>
      <c r="M29" s="13"/>
      <c r="N29" s="109"/>
      <c r="S29" s="110"/>
      <c r="T29" s="152"/>
      <c r="U29" s="112"/>
      <c r="Y29" s="154"/>
      <c r="Z29" s="15"/>
    </row>
    <row r="30">
      <c r="A30" s="9"/>
      <c r="B30" s="81">
        <v>0.6041666666666666</v>
      </c>
      <c r="C30" s="81">
        <v>0.6145833333333334</v>
      </c>
      <c r="D30" s="9"/>
      <c r="E30" s="109"/>
      <c r="H30" s="110"/>
      <c r="I30" s="109"/>
      <c r="L30" s="110"/>
      <c r="M30" s="13"/>
      <c r="N30" s="195" t="s">
        <v>112</v>
      </c>
      <c r="O30" s="68"/>
      <c r="P30" s="68"/>
      <c r="Q30" s="68"/>
      <c r="R30" s="68"/>
      <c r="S30" s="68"/>
      <c r="T30" s="152"/>
      <c r="U30" s="112"/>
      <c r="Y30" s="154"/>
      <c r="Z30" s="15"/>
    </row>
    <row r="31">
      <c r="A31" s="9"/>
      <c r="B31" s="106">
        <v>0.6145833333333334</v>
      </c>
      <c r="C31" s="106">
        <v>0.625</v>
      </c>
      <c r="D31" s="9"/>
      <c r="E31" s="109"/>
      <c r="H31" s="110"/>
      <c r="I31" s="109"/>
      <c r="L31" s="110"/>
      <c r="M31" s="13"/>
      <c r="N31" s="109"/>
      <c r="T31" s="152"/>
      <c r="U31" s="185" t="s">
        <v>154</v>
      </c>
      <c r="X31" s="114"/>
      <c r="Y31" s="154"/>
      <c r="Z31" s="15"/>
    </row>
    <row r="32">
      <c r="A32" s="9"/>
      <c r="B32" s="81">
        <v>0.625</v>
      </c>
      <c r="C32" s="81">
        <v>0.6354166666666666</v>
      </c>
      <c r="D32" s="9"/>
      <c r="E32" s="109"/>
      <c r="H32" s="110"/>
      <c r="I32" s="109"/>
      <c r="L32" s="110"/>
      <c r="M32" s="13"/>
      <c r="N32" s="109"/>
      <c r="T32" s="152"/>
      <c r="U32" s="112"/>
      <c r="X32" s="114"/>
      <c r="Y32" s="154"/>
      <c r="Z32" s="15"/>
    </row>
    <row r="33">
      <c r="A33" s="9"/>
      <c r="B33" s="106">
        <v>0.6354166666666666</v>
      </c>
      <c r="C33" s="106">
        <v>0.6458333333333334</v>
      </c>
      <c r="D33" s="9"/>
      <c r="E33" s="109"/>
      <c r="H33" s="110"/>
      <c r="I33" s="109"/>
      <c r="L33" s="110"/>
      <c r="M33" s="13"/>
      <c r="N33" s="109"/>
      <c r="T33" s="152"/>
      <c r="U33" s="112"/>
      <c r="X33" s="114"/>
      <c r="Y33" s="154"/>
      <c r="Z33" s="15"/>
    </row>
    <row r="34">
      <c r="A34" s="9"/>
      <c r="B34" s="81">
        <v>0.6458333333333334</v>
      </c>
      <c r="C34" s="81">
        <v>0.65625</v>
      </c>
      <c r="D34" s="9"/>
      <c r="E34" s="109"/>
      <c r="H34" s="110"/>
      <c r="I34" s="109"/>
      <c r="L34" s="110"/>
      <c r="M34" s="13"/>
      <c r="N34" s="109"/>
      <c r="T34" s="158"/>
      <c r="U34" s="190" t="s">
        <v>156</v>
      </c>
      <c r="Y34" s="154"/>
      <c r="Z34" s="15"/>
    </row>
    <row r="35">
      <c r="A35" s="9"/>
      <c r="B35" s="106">
        <v>0.65625</v>
      </c>
      <c r="C35" s="106">
        <v>0.6666666666666666</v>
      </c>
      <c r="D35" s="9"/>
      <c r="E35" s="223" t="s">
        <v>20</v>
      </c>
      <c r="H35" s="110"/>
      <c r="I35" s="109"/>
      <c r="L35" s="110"/>
      <c r="M35" s="13"/>
      <c r="N35" s="228" t="s">
        <v>109</v>
      </c>
      <c r="O35" s="230"/>
      <c r="P35" s="230"/>
      <c r="Q35" s="230"/>
      <c r="R35" s="230"/>
      <c r="S35" s="231"/>
      <c r="T35" s="158"/>
      <c r="U35" s="112"/>
      <c r="Y35" s="154"/>
      <c r="Z35" s="15"/>
    </row>
    <row r="36">
      <c r="A36" s="9"/>
      <c r="B36" s="81">
        <v>0.6666666666666666</v>
      </c>
      <c r="C36" s="81">
        <v>0.6770833333333334</v>
      </c>
      <c r="D36" s="9"/>
      <c r="E36" s="109"/>
      <c r="H36" s="110"/>
      <c r="I36" s="109"/>
      <c r="L36" s="110"/>
      <c r="M36" s="13"/>
      <c r="N36" s="198" t="s">
        <v>117</v>
      </c>
      <c r="O36" s="68"/>
      <c r="P36" s="68"/>
      <c r="Q36" s="68"/>
      <c r="R36" s="68"/>
      <c r="S36" s="27"/>
      <c r="T36" s="158"/>
      <c r="U36" s="112"/>
      <c r="Y36" s="154"/>
      <c r="Z36" s="15"/>
    </row>
    <row r="37" ht="33.0" customHeight="1">
      <c r="A37" s="9"/>
      <c r="B37" s="106">
        <v>0.6770833333333334</v>
      </c>
      <c r="C37" s="106">
        <v>0.6875</v>
      </c>
      <c r="D37" s="9"/>
      <c r="E37" s="109"/>
      <c r="H37" s="110"/>
      <c r="I37" s="109"/>
      <c r="L37" s="110"/>
      <c r="M37" s="13"/>
      <c r="N37" s="109"/>
      <c r="S37" s="110"/>
      <c r="T37" s="152"/>
      <c r="U37" s="112"/>
      <c r="Y37" s="9"/>
      <c r="Z37" s="15"/>
    </row>
    <row r="38">
      <c r="A38" s="9"/>
      <c r="B38" s="81">
        <v>0.6875</v>
      </c>
      <c r="C38" s="81">
        <v>0.6979166666666666</v>
      </c>
      <c r="D38" s="9"/>
      <c r="E38" s="182" t="s">
        <v>35</v>
      </c>
      <c r="F38" s="68"/>
      <c r="G38" s="68"/>
      <c r="H38" s="27"/>
      <c r="I38" s="109"/>
      <c r="L38" s="110"/>
      <c r="M38" s="13"/>
      <c r="N38" s="109"/>
      <c r="S38" s="110"/>
      <c r="T38" s="158"/>
      <c r="U38" s="236"/>
      <c r="V38" s="236"/>
      <c r="W38" s="236"/>
      <c r="X38" s="236"/>
      <c r="Y38" s="154"/>
      <c r="Z38" s="15"/>
    </row>
    <row r="39">
      <c r="A39" s="9"/>
      <c r="B39" s="106">
        <v>0.6979166666666666</v>
      </c>
      <c r="C39" s="106">
        <v>0.7083333333333334</v>
      </c>
      <c r="D39" s="9"/>
      <c r="E39" s="109"/>
      <c r="H39" s="110"/>
      <c r="I39" s="53"/>
      <c r="J39" s="169"/>
      <c r="K39" s="169"/>
      <c r="L39" s="56"/>
      <c r="M39" s="13"/>
      <c r="N39" s="109"/>
      <c r="S39" s="110"/>
      <c r="T39" s="158"/>
      <c r="U39" s="236"/>
      <c r="V39" s="236"/>
      <c r="W39" s="236"/>
      <c r="X39" s="236"/>
      <c r="Y39" s="154"/>
      <c r="Z39" s="15"/>
    </row>
    <row r="40">
      <c r="A40" s="9"/>
      <c r="B40" s="81">
        <v>0.7083333333333334</v>
      </c>
      <c r="C40" s="81">
        <v>0.71875</v>
      </c>
      <c r="D40" s="9"/>
      <c r="E40" s="109"/>
      <c r="H40" s="110"/>
      <c r="I40" s="182" t="s">
        <v>152</v>
      </c>
      <c r="J40" s="68"/>
      <c r="K40" s="68"/>
      <c r="L40" s="27"/>
      <c r="M40" s="13"/>
      <c r="N40" s="109"/>
      <c r="S40" s="110"/>
      <c r="T40" s="158"/>
      <c r="U40" s="236"/>
      <c r="V40" s="236"/>
      <c r="W40" s="236"/>
      <c r="X40" s="236"/>
      <c r="Y40" s="154"/>
      <c r="Z40" s="15"/>
    </row>
    <row r="41">
      <c r="A41" s="9"/>
      <c r="B41" s="106">
        <v>0.71875</v>
      </c>
      <c r="C41" s="106">
        <v>0.7291666666666666</v>
      </c>
      <c r="D41" s="9"/>
      <c r="E41" s="244" t="s">
        <v>51</v>
      </c>
      <c r="H41" s="110"/>
      <c r="I41" s="109"/>
      <c r="L41" s="110"/>
      <c r="M41" s="13"/>
      <c r="N41" s="109"/>
      <c r="S41" s="110"/>
      <c r="T41" s="152"/>
      <c r="U41" s="246"/>
      <c r="V41" s="249"/>
      <c r="W41" s="249"/>
      <c r="X41" s="251"/>
      <c r="Y41" s="9"/>
      <c r="Z41" s="15"/>
    </row>
    <row r="42" ht="30.0" customHeight="1">
      <c r="A42" s="9"/>
      <c r="B42" s="81">
        <v>0.7291666666666666</v>
      </c>
      <c r="C42" s="81">
        <v>0.7395833333333334</v>
      </c>
      <c r="D42" s="9"/>
      <c r="E42" s="109"/>
      <c r="H42" s="110"/>
      <c r="I42" s="109"/>
      <c r="L42" s="110"/>
      <c r="M42" s="13"/>
      <c r="N42" s="109"/>
      <c r="S42" s="110"/>
      <c r="T42" s="152"/>
      <c r="U42" s="99"/>
      <c r="V42" s="199"/>
      <c r="W42" s="199"/>
      <c r="X42" s="200"/>
      <c r="Y42" s="9"/>
      <c r="Z42" s="15"/>
    </row>
    <row r="43">
      <c r="A43" s="9"/>
      <c r="B43" s="106">
        <v>0.7395833333333334</v>
      </c>
      <c r="C43" s="106">
        <v>0.75</v>
      </c>
      <c r="D43" s="9"/>
      <c r="E43" s="192" t="s">
        <v>46</v>
      </c>
      <c r="F43" s="68"/>
      <c r="G43" s="68"/>
      <c r="H43" s="27"/>
      <c r="I43" s="109"/>
      <c r="L43" s="110"/>
      <c r="M43" s="13"/>
      <c r="N43" s="109"/>
      <c r="S43" s="110"/>
      <c r="T43" s="152"/>
      <c r="U43" s="99"/>
      <c r="V43" s="199"/>
      <c r="W43" s="199"/>
      <c r="X43" s="200"/>
      <c r="Y43" s="9"/>
      <c r="Z43" s="15"/>
    </row>
    <row r="44">
      <c r="A44" s="9"/>
      <c r="B44" s="81">
        <v>0.75</v>
      </c>
      <c r="C44" s="81">
        <v>0.7604166666666666</v>
      </c>
      <c r="D44" s="9"/>
      <c r="E44" s="109"/>
      <c r="H44" s="110"/>
      <c r="I44" s="109"/>
      <c r="L44" s="110"/>
      <c r="M44" s="13"/>
      <c r="N44" s="109"/>
      <c r="S44" s="110"/>
      <c r="T44" s="152"/>
      <c r="U44" s="99"/>
      <c r="V44" s="99"/>
      <c r="W44" s="99"/>
      <c r="X44" s="171"/>
      <c r="Y44" s="9"/>
      <c r="Z44" s="15"/>
    </row>
    <row r="45">
      <c r="A45" s="9"/>
      <c r="B45" s="106">
        <v>0.7604166666666666</v>
      </c>
      <c r="C45" s="106">
        <v>0.7708333333333334</v>
      </c>
      <c r="D45" s="9"/>
      <c r="E45" s="109"/>
      <c r="H45" s="110"/>
      <c r="I45" s="53"/>
      <c r="J45" s="169"/>
      <c r="K45" s="169"/>
      <c r="L45" s="56"/>
      <c r="M45" s="13"/>
      <c r="N45" s="109"/>
      <c r="S45" s="110"/>
      <c r="T45" s="152"/>
      <c r="U45" s="99"/>
      <c r="V45" s="99"/>
      <c r="W45" s="99"/>
      <c r="X45" s="171"/>
      <c r="Y45" s="9"/>
      <c r="Z45" s="15"/>
    </row>
    <row r="46">
      <c r="A46" s="9"/>
      <c r="B46" s="81">
        <v>0.7708333333333334</v>
      </c>
      <c r="C46" s="81">
        <v>0.78125</v>
      </c>
      <c r="D46" s="9"/>
      <c r="E46" s="109"/>
      <c r="H46" s="110"/>
      <c r="I46" s="192" t="s">
        <v>60</v>
      </c>
      <c r="J46" s="68"/>
      <c r="K46" s="68"/>
      <c r="L46" s="27"/>
      <c r="M46" s="13"/>
      <c r="N46" s="109"/>
      <c r="S46" s="110"/>
      <c r="T46" s="152"/>
      <c r="U46" s="99"/>
      <c r="V46" s="99"/>
      <c r="W46" s="99"/>
      <c r="X46" s="171"/>
      <c r="Y46" s="9"/>
      <c r="Z46" s="15"/>
    </row>
    <row r="47">
      <c r="A47" s="9"/>
      <c r="B47" s="106">
        <v>0.78125</v>
      </c>
      <c r="C47" s="106">
        <v>0.7916666666666666</v>
      </c>
      <c r="D47" s="9"/>
      <c r="E47" s="109"/>
      <c r="H47" s="110"/>
      <c r="I47" s="109"/>
      <c r="L47" s="110"/>
      <c r="M47" s="13"/>
      <c r="N47" s="218" t="s">
        <v>160</v>
      </c>
      <c r="S47" s="114"/>
      <c r="T47" s="99"/>
      <c r="U47" s="99"/>
      <c r="V47" s="99"/>
      <c r="W47" s="99"/>
      <c r="X47" s="171"/>
      <c r="Y47" s="9"/>
      <c r="Z47" s="15"/>
    </row>
    <row r="48">
      <c r="A48" s="9"/>
      <c r="B48" s="81">
        <v>0.7916666666666666</v>
      </c>
      <c r="C48" s="81">
        <v>0.8020833333333334</v>
      </c>
      <c r="D48" s="9"/>
      <c r="E48" s="109"/>
      <c r="H48" s="110"/>
      <c r="I48" s="53"/>
      <c r="J48" s="169"/>
      <c r="K48" s="169"/>
      <c r="L48" s="56"/>
      <c r="M48" s="13"/>
      <c r="N48" s="117"/>
      <c r="O48" s="120"/>
      <c r="P48" s="120"/>
      <c r="Q48" s="120"/>
      <c r="R48" s="120"/>
      <c r="S48" s="122"/>
      <c r="T48" s="99"/>
      <c r="U48" s="99"/>
      <c r="V48" s="213"/>
      <c r="W48" s="94"/>
      <c r="X48" s="95"/>
      <c r="Y48" s="9"/>
      <c r="Z48" s="15"/>
    </row>
    <row r="49">
      <c r="A49" s="9"/>
      <c r="B49" s="106">
        <v>0.8020833333333334</v>
      </c>
      <c r="C49" s="106">
        <v>0.8125</v>
      </c>
      <c r="D49" s="9"/>
      <c r="E49" s="109"/>
      <c r="H49" s="110"/>
      <c r="I49" s="258" t="s">
        <v>158</v>
      </c>
      <c r="J49" s="169"/>
      <c r="K49" s="169"/>
      <c r="L49" s="56"/>
      <c r="M49" s="13"/>
      <c r="N49" s="125" t="s">
        <v>167</v>
      </c>
      <c r="O49" s="94"/>
      <c r="P49" s="94"/>
      <c r="Q49" s="94"/>
      <c r="R49" s="94"/>
      <c r="S49" s="94"/>
      <c r="T49" s="99"/>
      <c r="U49" s="99"/>
      <c r="V49" s="112"/>
      <c r="X49" s="114"/>
      <c r="Y49" s="9"/>
      <c r="Z49" s="15"/>
    </row>
    <row r="50">
      <c r="A50" s="9"/>
      <c r="B50" s="81">
        <v>0.8125</v>
      </c>
      <c r="C50" s="81">
        <v>0.8229166666666666</v>
      </c>
      <c r="D50" s="9"/>
      <c r="E50" s="109"/>
      <c r="H50" s="110"/>
      <c r="I50" s="261" t="s">
        <v>182</v>
      </c>
      <c r="L50" s="110"/>
      <c r="M50" s="13"/>
      <c r="N50" s="112"/>
      <c r="T50" s="99"/>
      <c r="U50" s="99"/>
      <c r="V50" s="112"/>
      <c r="X50" s="114"/>
      <c r="Y50" s="9"/>
      <c r="Z50" s="15"/>
    </row>
    <row r="51">
      <c r="A51" s="9"/>
      <c r="B51" s="106">
        <v>0.8229166666666666</v>
      </c>
      <c r="C51" s="106">
        <v>0.8333333333333334</v>
      </c>
      <c r="D51" s="9"/>
      <c r="E51" s="109"/>
      <c r="H51" s="110"/>
      <c r="I51" s="109"/>
      <c r="L51" s="110"/>
      <c r="M51" s="13"/>
      <c r="N51" s="112"/>
      <c r="T51" s="99"/>
      <c r="U51" s="99"/>
      <c r="V51" s="112"/>
      <c r="X51" s="114"/>
      <c r="Y51" s="9"/>
      <c r="Z51" s="15"/>
    </row>
    <row r="52">
      <c r="A52" s="9"/>
      <c r="B52" s="81">
        <v>0.8333333333333334</v>
      </c>
      <c r="C52" s="81">
        <v>0.84375</v>
      </c>
      <c r="D52" s="9"/>
      <c r="E52" s="109"/>
      <c r="H52" s="110"/>
      <c r="I52" s="109"/>
      <c r="L52" s="110"/>
      <c r="M52" s="13"/>
      <c r="N52" s="112"/>
      <c r="T52" s="99"/>
      <c r="U52" s="99"/>
      <c r="V52" s="112"/>
      <c r="X52" s="114"/>
      <c r="Y52" s="9"/>
      <c r="Z52" s="15"/>
    </row>
    <row r="53">
      <c r="A53" s="9"/>
      <c r="B53" s="106">
        <v>0.84375</v>
      </c>
      <c r="C53" s="106">
        <v>0.8541666666666666</v>
      </c>
      <c r="D53" s="9"/>
      <c r="E53" s="109"/>
      <c r="H53" s="110"/>
      <c r="I53" s="197" t="s">
        <v>184</v>
      </c>
      <c r="L53" s="110"/>
      <c r="M53" s="13"/>
      <c r="N53" s="91" t="s">
        <v>169</v>
      </c>
      <c r="O53" s="94"/>
      <c r="P53" s="94"/>
      <c r="Q53" s="94"/>
      <c r="R53" s="94"/>
      <c r="S53" s="95"/>
      <c r="T53" s="99"/>
      <c r="U53" s="99"/>
      <c r="V53" s="117"/>
      <c r="W53" s="120"/>
      <c r="X53" s="122"/>
      <c r="Y53" s="9"/>
      <c r="Z53" s="15"/>
    </row>
    <row r="54">
      <c r="A54" s="9"/>
      <c r="B54" s="81">
        <v>0.8541666666666666</v>
      </c>
      <c r="C54" s="81">
        <v>0.8645833333333334</v>
      </c>
      <c r="D54" s="9"/>
      <c r="E54" s="109"/>
      <c r="H54" s="110"/>
      <c r="I54" s="109"/>
      <c r="L54" s="110"/>
      <c r="M54" s="13"/>
      <c r="N54" s="112"/>
      <c r="S54" s="114"/>
      <c r="T54" s="99"/>
      <c r="U54" s="99"/>
      <c r="V54" s="225"/>
      <c r="W54" s="94"/>
      <c r="X54" s="95"/>
      <c r="Y54" s="9"/>
      <c r="Z54" s="15"/>
    </row>
    <row r="55" ht="28.5" customHeight="1">
      <c r="A55" s="9"/>
      <c r="B55" s="106">
        <v>0.8645833333333334</v>
      </c>
      <c r="C55" s="106">
        <v>0.875</v>
      </c>
      <c r="D55" s="9"/>
      <c r="E55" s="109"/>
      <c r="H55" s="110"/>
      <c r="I55" s="53"/>
      <c r="J55" s="169"/>
      <c r="K55" s="169"/>
      <c r="L55" s="56"/>
      <c r="M55" s="13"/>
      <c r="N55" s="112"/>
      <c r="S55" s="114"/>
      <c r="T55" s="99"/>
      <c r="U55" s="99"/>
      <c r="V55" s="112"/>
      <c r="X55" s="114"/>
      <c r="Y55" s="9"/>
      <c r="Z55" s="15"/>
    </row>
    <row r="56">
      <c r="A56" s="9"/>
      <c r="B56" s="81">
        <v>0.875</v>
      </c>
      <c r="C56" s="81">
        <v>0.8854166666666666</v>
      </c>
      <c r="D56" s="9"/>
      <c r="E56" s="109"/>
      <c r="H56" s="110"/>
      <c r="I56" s="269" t="s">
        <v>160</v>
      </c>
      <c r="J56" s="68"/>
      <c r="K56" s="68"/>
      <c r="L56" s="27"/>
      <c r="M56" s="13"/>
      <c r="N56" s="234" t="s">
        <v>173</v>
      </c>
      <c r="O56" s="94"/>
      <c r="P56" s="94"/>
      <c r="Q56" s="94"/>
      <c r="R56" s="94"/>
      <c r="S56" s="95"/>
      <c r="T56" s="99"/>
      <c r="U56" s="99"/>
      <c r="V56" s="112"/>
      <c r="X56" s="114"/>
      <c r="Y56" s="9"/>
      <c r="Z56" s="15"/>
    </row>
    <row r="57">
      <c r="A57" s="9"/>
      <c r="B57" s="106">
        <v>0.8854166666666666</v>
      </c>
      <c r="C57" s="106">
        <v>0.8958333333333334</v>
      </c>
      <c r="D57" s="9"/>
      <c r="E57" s="109"/>
      <c r="H57" s="110"/>
      <c r="I57" s="109"/>
      <c r="L57" s="110"/>
      <c r="M57" s="13"/>
      <c r="N57" s="112"/>
      <c r="S57" s="114"/>
      <c r="T57" s="99"/>
      <c r="U57" s="99"/>
      <c r="V57" s="117"/>
      <c r="W57" s="120"/>
      <c r="X57" s="122"/>
      <c r="Y57" s="9"/>
      <c r="Z57" s="15"/>
    </row>
    <row r="58">
      <c r="A58" s="9"/>
      <c r="B58" s="81">
        <v>0.8958333333333334</v>
      </c>
      <c r="C58" s="81">
        <v>0.90625</v>
      </c>
      <c r="D58" s="9"/>
      <c r="E58" s="109"/>
      <c r="H58" s="110"/>
      <c r="I58" s="53"/>
      <c r="J58" s="169"/>
      <c r="K58" s="169"/>
      <c r="L58" s="56"/>
      <c r="M58" s="13"/>
      <c r="N58" s="112"/>
      <c r="S58" s="114"/>
      <c r="T58" s="99"/>
      <c r="U58" s="99"/>
      <c r="V58" s="213"/>
      <c r="W58" s="94"/>
      <c r="X58" s="95"/>
      <c r="Y58" s="9"/>
      <c r="Z58" s="15"/>
    </row>
    <row r="59">
      <c r="A59" s="9"/>
      <c r="B59" s="106">
        <v>0.90625</v>
      </c>
      <c r="C59" s="106">
        <v>0.9166666666666666</v>
      </c>
      <c r="D59" s="9"/>
      <c r="E59" s="109"/>
      <c r="H59" s="110"/>
      <c r="I59" s="203" t="s">
        <v>68</v>
      </c>
      <c r="J59" s="68"/>
      <c r="K59" s="68"/>
      <c r="L59" s="27"/>
      <c r="M59" s="13"/>
      <c r="N59" s="112"/>
      <c r="S59" s="114"/>
      <c r="T59" s="99"/>
      <c r="U59" s="99"/>
      <c r="V59" s="112"/>
      <c r="X59" s="114"/>
      <c r="Y59" s="9"/>
      <c r="Z59" s="15"/>
    </row>
    <row r="60">
      <c r="A60" s="9"/>
      <c r="B60" s="81">
        <v>0.9166666666666666</v>
      </c>
      <c r="C60" s="81">
        <v>0.9270833333333334</v>
      </c>
      <c r="D60" s="9"/>
      <c r="E60" s="109"/>
      <c r="H60" s="110"/>
      <c r="I60" s="109"/>
      <c r="L60" s="110"/>
      <c r="M60" s="13"/>
      <c r="N60" s="112"/>
      <c r="S60" s="114"/>
      <c r="T60" s="99"/>
      <c r="U60" s="99"/>
      <c r="V60" s="112"/>
      <c r="X60" s="114"/>
      <c r="Y60" s="9"/>
      <c r="Z60" s="15"/>
    </row>
    <row r="61">
      <c r="A61" s="9"/>
      <c r="B61" s="106">
        <v>0.9270833333333334</v>
      </c>
      <c r="C61" s="106">
        <v>0.9375</v>
      </c>
      <c r="D61" s="9"/>
      <c r="E61" s="109"/>
      <c r="H61" s="110"/>
      <c r="I61" s="109"/>
      <c r="L61" s="110"/>
      <c r="M61" s="13"/>
      <c r="N61" s="112"/>
      <c r="S61" s="114"/>
      <c r="T61" s="99"/>
      <c r="U61" s="99"/>
      <c r="V61" s="112"/>
      <c r="X61" s="114"/>
      <c r="Y61" s="9"/>
      <c r="Z61" s="15"/>
    </row>
    <row r="62">
      <c r="A62" s="9"/>
      <c r="B62" s="81">
        <v>0.9375</v>
      </c>
      <c r="C62" s="81">
        <v>0.9479166666666666</v>
      </c>
      <c r="D62" s="9"/>
      <c r="E62" s="109"/>
      <c r="H62" s="110"/>
      <c r="I62" s="53"/>
      <c r="J62" s="169"/>
      <c r="K62" s="169"/>
      <c r="L62" s="56"/>
      <c r="M62" s="13"/>
      <c r="N62" s="112"/>
      <c r="S62" s="114"/>
      <c r="T62" s="99"/>
      <c r="U62" s="99"/>
      <c r="V62" s="112"/>
      <c r="X62" s="114"/>
      <c r="Y62" s="9"/>
      <c r="Z62" s="15"/>
    </row>
    <row r="63">
      <c r="A63" s="9"/>
      <c r="B63" s="106">
        <v>0.9479166666666666</v>
      </c>
      <c r="C63" s="106">
        <v>0.9583333333333334</v>
      </c>
      <c r="D63" s="9"/>
      <c r="E63" s="109"/>
      <c r="H63" s="110"/>
      <c r="I63" s="211" t="s">
        <v>163</v>
      </c>
      <c r="J63" s="68"/>
      <c r="K63" s="68"/>
      <c r="L63" s="27"/>
      <c r="M63" s="13"/>
      <c r="N63" s="112"/>
      <c r="S63" s="114"/>
      <c r="T63" s="99"/>
      <c r="U63" s="99"/>
      <c r="V63" s="117"/>
      <c r="W63" s="120"/>
      <c r="X63" s="122"/>
      <c r="Y63" s="9"/>
      <c r="Z63" s="15"/>
    </row>
    <row r="64">
      <c r="A64" s="9"/>
      <c r="B64" s="81">
        <v>0.9583333333333334</v>
      </c>
      <c r="C64" s="81">
        <v>0.96875</v>
      </c>
      <c r="D64" s="9"/>
      <c r="E64" s="109"/>
      <c r="H64" s="110"/>
      <c r="I64" s="109"/>
      <c r="L64" s="110"/>
      <c r="M64" s="13"/>
      <c r="N64" s="112"/>
      <c r="S64" s="114"/>
      <c r="T64" s="99"/>
      <c r="U64" s="99"/>
      <c r="V64" s="213"/>
      <c r="W64" s="94"/>
      <c r="X64" s="95"/>
      <c r="Y64" s="9"/>
      <c r="Z64" s="15"/>
    </row>
    <row r="65">
      <c r="A65" s="9"/>
      <c r="B65" s="106">
        <v>0.96875</v>
      </c>
      <c r="C65" s="106">
        <v>0.9791666666666666</v>
      </c>
      <c r="D65" s="9"/>
      <c r="E65" s="109"/>
      <c r="H65" s="110"/>
      <c r="I65" s="109"/>
      <c r="L65" s="110"/>
      <c r="M65" s="13"/>
      <c r="N65" s="117"/>
      <c r="O65" s="120"/>
      <c r="P65" s="120"/>
      <c r="Q65" s="120"/>
      <c r="R65" s="120"/>
      <c r="S65" s="122"/>
      <c r="T65" s="99"/>
      <c r="U65" s="99"/>
      <c r="V65" s="112"/>
      <c r="X65" s="114"/>
      <c r="Y65" s="9"/>
      <c r="Z65" s="15"/>
    </row>
    <row r="66">
      <c r="A66" s="9"/>
      <c r="B66" s="81">
        <v>0.9791666666666666</v>
      </c>
      <c r="C66" s="81">
        <v>0.9895833333333334</v>
      </c>
      <c r="D66" s="9"/>
      <c r="E66" s="109"/>
      <c r="H66" s="110"/>
      <c r="I66" s="109"/>
      <c r="L66" s="110"/>
      <c r="M66" s="13"/>
      <c r="N66" s="131" t="s">
        <v>178</v>
      </c>
      <c r="O66" s="94"/>
      <c r="P66" s="94"/>
      <c r="Q66" s="94"/>
      <c r="R66" s="94"/>
      <c r="S66" s="95"/>
      <c r="T66" s="99"/>
      <c r="U66" s="99"/>
      <c r="V66" s="112"/>
      <c r="X66" s="114"/>
      <c r="Y66" s="9"/>
      <c r="Z66" s="15"/>
    </row>
    <row r="67">
      <c r="A67" s="9"/>
      <c r="B67" s="106">
        <v>0.9895833333333334</v>
      </c>
      <c r="C67" s="106">
        <v>1.0</v>
      </c>
      <c r="D67" s="9"/>
      <c r="E67" s="109"/>
      <c r="H67" s="110"/>
      <c r="I67" s="221" t="s">
        <v>165</v>
      </c>
      <c r="J67" s="68"/>
      <c r="K67" s="68"/>
      <c r="L67" s="27"/>
      <c r="M67" s="13"/>
      <c r="N67" s="112"/>
      <c r="S67" s="114"/>
      <c r="T67" s="99"/>
      <c r="U67" s="99"/>
      <c r="V67" s="112"/>
      <c r="X67" s="114"/>
      <c r="Y67" s="9"/>
      <c r="Z67" s="15"/>
    </row>
    <row r="68">
      <c r="A68" s="9"/>
      <c r="B68" s="81">
        <v>1.0</v>
      </c>
      <c r="C68" s="81">
        <v>1.0104166666666667</v>
      </c>
      <c r="D68" s="9"/>
      <c r="E68" s="109"/>
      <c r="H68" s="110"/>
      <c r="I68" s="109"/>
      <c r="L68" s="110"/>
      <c r="M68" s="13"/>
      <c r="N68" s="112"/>
      <c r="S68" s="114"/>
      <c r="T68" s="99"/>
      <c r="U68" s="99"/>
      <c r="V68" s="112"/>
      <c r="X68" s="114"/>
      <c r="Y68" s="9"/>
      <c r="Z68" s="15"/>
    </row>
    <row r="69">
      <c r="A69" s="9"/>
      <c r="B69" s="106">
        <v>1.0104166666666667</v>
      </c>
      <c r="C69" s="106">
        <v>1.0208333333333333</v>
      </c>
      <c r="D69" s="9"/>
      <c r="E69" s="109"/>
      <c r="H69" s="110"/>
      <c r="I69" s="109"/>
      <c r="L69" s="110"/>
      <c r="M69" s="13"/>
      <c r="N69" s="112"/>
      <c r="S69" s="114"/>
      <c r="T69" s="99"/>
      <c r="U69" s="99"/>
      <c r="V69" s="112"/>
      <c r="X69" s="114"/>
      <c r="Y69" s="9"/>
      <c r="Z69" s="15"/>
    </row>
    <row r="70">
      <c r="A70" s="9"/>
      <c r="B70" s="81">
        <v>1.0208333333333333</v>
      </c>
      <c r="C70" s="81">
        <v>1.03125</v>
      </c>
      <c r="D70" s="9"/>
      <c r="E70" s="109"/>
      <c r="H70" s="110"/>
      <c r="I70" s="109"/>
      <c r="L70" s="110"/>
      <c r="M70" s="13"/>
      <c r="N70" s="112"/>
      <c r="S70" s="114"/>
      <c r="T70" s="99"/>
      <c r="U70" s="99"/>
      <c r="V70" s="112"/>
      <c r="X70" s="114"/>
      <c r="Y70" s="9"/>
      <c r="Z70" s="15"/>
    </row>
    <row r="71">
      <c r="A71" s="9"/>
      <c r="B71" s="106">
        <v>1.03125</v>
      </c>
      <c r="C71" s="106">
        <v>1.0416666666666667</v>
      </c>
      <c r="D71" s="9"/>
      <c r="E71" s="109"/>
      <c r="H71" s="110"/>
      <c r="I71" s="109"/>
      <c r="L71" s="110"/>
      <c r="M71" s="13"/>
      <c r="N71" s="112"/>
      <c r="S71" s="114"/>
      <c r="T71" s="99"/>
      <c r="U71" s="99"/>
      <c r="V71" s="112"/>
      <c r="X71" s="114"/>
      <c r="Y71" s="9"/>
      <c r="Z71" s="15"/>
    </row>
    <row r="72">
      <c r="A72" s="9"/>
      <c r="B72" s="81">
        <v>1.0416666666666667</v>
      </c>
      <c r="C72" s="81">
        <v>1.0520833333333333</v>
      </c>
      <c r="D72" s="9"/>
      <c r="E72" s="109"/>
      <c r="H72" s="110"/>
      <c r="I72" s="109"/>
      <c r="L72" s="110"/>
      <c r="M72" s="13"/>
      <c r="N72" s="112"/>
      <c r="S72" s="114"/>
      <c r="T72" s="99"/>
      <c r="U72" s="99"/>
      <c r="V72" s="112"/>
      <c r="X72" s="114"/>
      <c r="Y72" s="9"/>
      <c r="Z72" s="15"/>
    </row>
    <row r="73">
      <c r="A73" s="9"/>
      <c r="B73" s="106">
        <v>1.0520833333333333</v>
      </c>
      <c r="C73" s="106">
        <v>1.0625</v>
      </c>
      <c r="D73" s="9"/>
      <c r="E73" s="109"/>
      <c r="H73" s="110"/>
      <c r="I73" s="109"/>
      <c r="L73" s="110"/>
      <c r="M73" s="13"/>
      <c r="N73" s="112"/>
      <c r="S73" s="114"/>
      <c r="T73" s="99"/>
      <c r="U73" s="99"/>
      <c r="V73" s="112"/>
      <c r="X73" s="114"/>
      <c r="Y73" s="9"/>
      <c r="Z73" s="15"/>
    </row>
    <row r="74">
      <c r="A74" s="9"/>
      <c r="B74" s="81">
        <v>1.0625</v>
      </c>
      <c r="C74" s="81">
        <v>1.0729166666666667</v>
      </c>
      <c r="D74" s="9"/>
      <c r="E74" s="109"/>
      <c r="H74" s="110"/>
      <c r="I74" s="109"/>
      <c r="L74" s="110"/>
      <c r="M74" s="13"/>
      <c r="N74" s="112"/>
      <c r="S74" s="114"/>
      <c r="T74" s="99"/>
      <c r="U74" s="99"/>
      <c r="V74" s="112"/>
      <c r="X74" s="114"/>
      <c r="Y74" s="9"/>
      <c r="Z74" s="15"/>
    </row>
    <row r="75">
      <c r="A75" s="9"/>
      <c r="B75" s="106">
        <v>1.0729166666666667</v>
      </c>
      <c r="C75" s="106">
        <v>1.0833333333333333</v>
      </c>
      <c r="D75" s="9"/>
      <c r="E75" s="53"/>
      <c r="F75" s="169"/>
      <c r="G75" s="169"/>
      <c r="H75" s="56"/>
      <c r="I75" s="109"/>
      <c r="L75" s="110"/>
      <c r="N75" s="117"/>
      <c r="O75" s="120"/>
      <c r="P75" s="120"/>
      <c r="Q75" s="120"/>
      <c r="R75" s="120"/>
      <c r="S75" s="122"/>
      <c r="T75" s="99"/>
      <c r="U75" s="99"/>
      <c r="V75" s="117"/>
      <c r="W75" s="120"/>
      <c r="X75" s="122"/>
      <c r="Y75" s="9"/>
      <c r="Z75" s="15"/>
    </row>
    <row r="76">
      <c r="A76" s="9"/>
      <c r="B76" s="9"/>
      <c r="C76" s="9"/>
      <c r="D76" s="9"/>
      <c r="E76" s="9"/>
      <c r="F76" s="9"/>
      <c r="G76" s="9"/>
      <c r="H76" s="9"/>
      <c r="I76" s="9"/>
      <c r="J76" s="9"/>
      <c r="K76" s="9"/>
      <c r="L76" s="9"/>
      <c r="M76" s="9"/>
      <c r="N76" s="9"/>
      <c r="O76" s="9"/>
      <c r="P76" s="252"/>
      <c r="Q76" s="252"/>
      <c r="R76" s="252"/>
      <c r="S76" s="252"/>
      <c r="T76" s="252"/>
      <c r="U76" s="252"/>
      <c r="V76" s="252"/>
      <c r="W76" s="252"/>
      <c r="X76" s="254"/>
      <c r="Y76" s="9"/>
      <c r="Z76" s="15"/>
    </row>
    <row r="77">
      <c r="A77" s="9"/>
      <c r="B77" s="9"/>
      <c r="C77" s="9"/>
      <c r="D77" s="9"/>
      <c r="E77" s="9"/>
      <c r="F77" s="9"/>
      <c r="G77" s="9"/>
      <c r="H77" s="9"/>
      <c r="I77" s="272"/>
      <c r="J77" s="9"/>
      <c r="K77" s="9"/>
      <c r="L77" s="9"/>
      <c r="M77" s="9"/>
      <c r="N77" s="9"/>
      <c r="O77" s="9"/>
      <c r="P77" s="9"/>
      <c r="Q77" s="9"/>
      <c r="R77" s="9"/>
      <c r="S77" s="9"/>
      <c r="T77" s="9"/>
      <c r="U77" s="9"/>
      <c r="V77" s="9"/>
      <c r="W77" s="9"/>
      <c r="X77" s="13"/>
      <c r="Y77" s="9"/>
      <c r="Z77" s="15"/>
    </row>
    <row r="78">
      <c r="A78" s="9"/>
      <c r="B78" s="9"/>
      <c r="C78" s="9"/>
      <c r="D78" s="9"/>
      <c r="E78" s="9"/>
      <c r="F78" s="9"/>
      <c r="G78" s="9"/>
      <c r="H78" s="9"/>
      <c r="I78" s="272"/>
      <c r="J78" s="9"/>
      <c r="K78" s="9"/>
      <c r="L78" s="9"/>
      <c r="M78" s="9"/>
      <c r="O78" s="9"/>
      <c r="P78" s="9"/>
      <c r="Q78" s="9"/>
      <c r="R78" s="9"/>
      <c r="S78" s="9"/>
      <c r="T78" s="9"/>
      <c r="U78" s="9"/>
      <c r="V78" s="9"/>
      <c r="W78" s="9"/>
      <c r="X78" s="13"/>
      <c r="Y78" s="9"/>
      <c r="Z78" s="15"/>
    </row>
    <row r="79">
      <c r="A79" s="9"/>
      <c r="B79" s="9"/>
      <c r="C79" s="9"/>
      <c r="D79" s="9"/>
      <c r="E79" s="9"/>
      <c r="F79" s="9"/>
      <c r="G79" s="9"/>
      <c r="H79" s="9"/>
      <c r="I79" s="272"/>
      <c r="J79" s="9"/>
      <c r="K79" s="9"/>
      <c r="L79" s="9"/>
      <c r="M79" s="9"/>
      <c r="N79" s="9"/>
      <c r="O79" s="9"/>
      <c r="P79" s="9"/>
      <c r="Q79" s="9"/>
      <c r="R79" s="9"/>
      <c r="S79" s="9"/>
      <c r="T79" s="9"/>
      <c r="U79" s="9"/>
      <c r="V79" s="9"/>
      <c r="W79" s="9"/>
      <c r="X79" s="13"/>
      <c r="Y79" s="9"/>
      <c r="Z79" s="15"/>
    </row>
    <row r="80">
      <c r="A80" s="9"/>
      <c r="B80" s="9"/>
      <c r="C80" s="9"/>
      <c r="D80" s="9"/>
      <c r="E80" s="9"/>
      <c r="F80" s="9"/>
      <c r="G80" s="9"/>
      <c r="H80" s="9"/>
      <c r="I80" s="272"/>
      <c r="J80" s="9"/>
      <c r="K80" s="9"/>
      <c r="L80" s="9"/>
      <c r="M80" s="9"/>
      <c r="N80" s="9"/>
      <c r="O80" s="9"/>
      <c r="P80" s="9"/>
      <c r="Q80" s="9"/>
      <c r="R80" s="9"/>
      <c r="S80" s="9"/>
      <c r="T80" s="9"/>
      <c r="U80" s="9"/>
      <c r="V80" s="9"/>
      <c r="W80" s="9"/>
      <c r="X80" s="13"/>
      <c r="Y80" s="9"/>
      <c r="Z80" s="15"/>
    </row>
    <row r="81">
      <c r="A81" s="9"/>
      <c r="B81" s="9"/>
      <c r="C81" s="9"/>
      <c r="D81" s="9"/>
      <c r="E81" s="9"/>
      <c r="F81" s="9"/>
      <c r="G81" s="9"/>
      <c r="H81" s="9"/>
      <c r="I81" s="273"/>
      <c r="J81" s="9"/>
      <c r="K81" s="9"/>
      <c r="L81" s="9"/>
      <c r="M81" s="9"/>
      <c r="N81" s="9"/>
      <c r="O81" s="9"/>
      <c r="P81" s="9"/>
      <c r="Q81" s="9"/>
      <c r="R81" s="9"/>
      <c r="S81" s="9"/>
      <c r="T81" s="9"/>
      <c r="U81" s="9"/>
      <c r="V81" s="9"/>
      <c r="W81" s="9"/>
      <c r="X81" s="13"/>
      <c r="Y81" s="9"/>
      <c r="Z81" s="15"/>
    </row>
    <row r="82">
      <c r="A82" s="9"/>
      <c r="B82" s="9"/>
      <c r="C82" s="9"/>
      <c r="D82" s="9"/>
      <c r="E82" s="9"/>
      <c r="F82" s="9"/>
      <c r="G82" s="9"/>
      <c r="H82" s="9"/>
      <c r="I82" s="272"/>
      <c r="J82" s="9"/>
      <c r="K82" s="9"/>
      <c r="L82" s="9"/>
      <c r="M82" s="9"/>
      <c r="N82" s="9"/>
      <c r="O82" s="9"/>
      <c r="P82" s="9"/>
      <c r="Q82" s="9"/>
      <c r="R82" s="9"/>
      <c r="S82" s="9"/>
      <c r="T82" s="9"/>
      <c r="U82" s="9"/>
      <c r="V82" s="9"/>
      <c r="W82" s="9"/>
      <c r="X82" s="13"/>
      <c r="Y82" s="9"/>
      <c r="Z82" s="15"/>
    </row>
    <row r="83">
      <c r="A83" s="9"/>
      <c r="B83" s="9"/>
      <c r="C83" s="9"/>
      <c r="D83" s="9"/>
      <c r="E83" s="9"/>
      <c r="F83" s="9"/>
      <c r="G83" s="9"/>
      <c r="H83" s="9"/>
      <c r="I83" s="9"/>
      <c r="J83" s="9"/>
      <c r="K83" s="9"/>
      <c r="L83" s="9"/>
      <c r="M83" s="9"/>
      <c r="N83" s="9"/>
      <c r="O83" s="9"/>
      <c r="P83" s="9"/>
      <c r="Q83" s="9"/>
      <c r="R83" s="9"/>
      <c r="S83" s="9"/>
      <c r="T83" s="9"/>
      <c r="U83" s="9"/>
      <c r="V83" s="9"/>
      <c r="W83" s="9"/>
      <c r="X83" s="13"/>
      <c r="Y83" s="9"/>
      <c r="Z83" s="15"/>
    </row>
  </sheetData>
  <mergeCells count="54">
    <mergeCell ref="N3:O3"/>
    <mergeCell ref="P3:S3"/>
    <mergeCell ref="I4:L39"/>
    <mergeCell ref="N4:S9"/>
    <mergeCell ref="N10:S13"/>
    <mergeCell ref="N14:S16"/>
    <mergeCell ref="N30:S34"/>
    <mergeCell ref="N35:S35"/>
    <mergeCell ref="N36:S46"/>
    <mergeCell ref="I40:L45"/>
    <mergeCell ref="I46:L48"/>
    <mergeCell ref="N47:S48"/>
    <mergeCell ref="I49:L49"/>
    <mergeCell ref="N49:S52"/>
    <mergeCell ref="B2:C3"/>
    <mergeCell ref="E2:H2"/>
    <mergeCell ref="I2:L2"/>
    <mergeCell ref="N2:S2"/>
    <mergeCell ref="U2:X2"/>
    <mergeCell ref="E3:H3"/>
    <mergeCell ref="I3:L3"/>
    <mergeCell ref="N17:S17"/>
    <mergeCell ref="N18:S21"/>
    <mergeCell ref="U22:X24"/>
    <mergeCell ref="U25:X30"/>
    <mergeCell ref="U31:X33"/>
    <mergeCell ref="U34:X37"/>
    <mergeCell ref="V48:X53"/>
    <mergeCell ref="V54:X57"/>
    <mergeCell ref="V58:X63"/>
    <mergeCell ref="V64:X75"/>
    <mergeCell ref="U3:V3"/>
    <mergeCell ref="W3:Z3"/>
    <mergeCell ref="U4:X9"/>
    <mergeCell ref="U10:X13"/>
    <mergeCell ref="U14:X16"/>
    <mergeCell ref="U17:X18"/>
    <mergeCell ref="U19:X21"/>
    <mergeCell ref="N22:S27"/>
    <mergeCell ref="N28:S29"/>
    <mergeCell ref="E4:H34"/>
    <mergeCell ref="E35:H37"/>
    <mergeCell ref="E38:H40"/>
    <mergeCell ref="E41:H42"/>
    <mergeCell ref="E43:H75"/>
    <mergeCell ref="I63:L66"/>
    <mergeCell ref="I67:L75"/>
    <mergeCell ref="I50:L52"/>
    <mergeCell ref="I53:L55"/>
    <mergeCell ref="N53:S55"/>
    <mergeCell ref="I56:L58"/>
    <mergeCell ref="N56:S65"/>
    <mergeCell ref="I59:L62"/>
    <mergeCell ref="N66:S75"/>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155"/>
    <outlinePr summaryBelow="0" summaryRight="0"/>
  </sheetPr>
  <sheetViews>
    <sheetView workbookViewId="0"/>
  </sheetViews>
  <sheetFormatPr customHeight="1" defaultColWidth="12.63" defaultRowHeight="15.75"/>
  <cols>
    <col customWidth="1" min="1" max="1" width="5.75"/>
    <col customWidth="1" min="2" max="2" width="13.38"/>
    <col customWidth="1" min="3" max="3" width="16.0"/>
    <col customWidth="1" min="4" max="4" width="22.38"/>
    <col customWidth="1" min="5" max="5" width="30.88"/>
    <col customWidth="1" min="6" max="6" width="20.88"/>
    <col customWidth="1" min="7" max="7" width="5.75"/>
  </cols>
  <sheetData>
    <row r="1">
      <c r="A1" s="201"/>
      <c r="B1" s="201"/>
      <c r="C1" s="201"/>
      <c r="D1" s="201"/>
      <c r="E1" s="201"/>
      <c r="F1" s="201"/>
      <c r="G1" s="205"/>
    </row>
    <row r="2">
      <c r="A2" s="205"/>
      <c r="B2" s="206" t="s">
        <v>161</v>
      </c>
      <c r="E2" s="205"/>
      <c r="F2" s="205"/>
      <c r="G2" s="205"/>
    </row>
    <row r="3">
      <c r="A3" s="205"/>
      <c r="E3" s="205"/>
      <c r="F3" s="205"/>
      <c r="G3" s="205"/>
    </row>
    <row r="4">
      <c r="A4" s="205"/>
      <c r="B4" s="205"/>
      <c r="C4" s="205"/>
      <c r="D4" s="205"/>
      <c r="E4" s="205"/>
      <c r="F4" s="205"/>
      <c r="G4" s="205"/>
    </row>
    <row r="5">
      <c r="A5" s="205"/>
      <c r="B5" s="208" t="s">
        <v>162</v>
      </c>
      <c r="C5" s="210"/>
      <c r="D5" s="210"/>
      <c r="E5" s="212"/>
      <c r="F5" s="214" t="s">
        <v>164</v>
      </c>
      <c r="G5" s="205"/>
    </row>
    <row r="6">
      <c r="A6" s="205"/>
      <c r="B6" s="215"/>
      <c r="C6" s="216"/>
      <c r="D6" s="216"/>
      <c r="E6" s="217"/>
      <c r="F6" s="219"/>
      <c r="G6" s="205"/>
    </row>
    <row r="7">
      <c r="A7" s="205"/>
      <c r="B7" s="220"/>
      <c r="C7" s="220"/>
      <c r="D7" s="220"/>
      <c r="E7" s="220"/>
      <c r="F7" s="220"/>
      <c r="G7" s="205"/>
    </row>
    <row r="8">
      <c r="A8" s="205"/>
      <c r="B8" s="222" t="s">
        <v>166</v>
      </c>
      <c r="C8" s="219"/>
      <c r="D8" s="224" t="s">
        <v>168</v>
      </c>
      <c r="F8" s="219"/>
      <c r="G8" s="205"/>
    </row>
    <row r="9">
      <c r="A9" s="205"/>
      <c r="B9" s="226"/>
      <c r="C9" s="227"/>
      <c r="D9" s="226"/>
      <c r="E9" s="229"/>
      <c r="F9" s="227"/>
      <c r="G9" s="205"/>
    </row>
    <row r="10">
      <c r="A10" s="205"/>
      <c r="B10" s="220"/>
      <c r="C10" s="220"/>
      <c r="D10" s="220"/>
      <c r="E10" s="220"/>
      <c r="F10" s="220"/>
      <c r="G10" s="205"/>
    </row>
    <row r="11">
      <c r="A11" s="205"/>
      <c r="B11" s="222" t="s">
        <v>170</v>
      </c>
      <c r="C11" s="219"/>
      <c r="D11" s="226"/>
      <c r="E11" s="229"/>
      <c r="F11" s="227"/>
      <c r="G11" s="205"/>
    </row>
    <row r="12">
      <c r="A12" s="205"/>
      <c r="B12" s="222" t="s">
        <v>171</v>
      </c>
      <c r="C12" s="219"/>
      <c r="D12" s="226"/>
      <c r="E12" s="229"/>
      <c r="F12" s="227"/>
      <c r="G12" s="205"/>
    </row>
    <row r="13">
      <c r="A13" s="205"/>
      <c r="B13" s="220"/>
      <c r="C13" s="220"/>
      <c r="D13" s="220"/>
      <c r="E13" s="220"/>
      <c r="F13" s="220"/>
      <c r="G13" s="205"/>
    </row>
    <row r="14">
      <c r="A14" s="205"/>
      <c r="B14" s="232" t="s">
        <v>172</v>
      </c>
      <c r="C14" s="233" t="s">
        <v>174</v>
      </c>
      <c r="D14" s="233" t="s">
        <v>175</v>
      </c>
      <c r="E14" s="235" t="s">
        <v>176</v>
      </c>
      <c r="F14" s="233" t="s">
        <v>177</v>
      </c>
      <c r="G14" s="205"/>
    </row>
    <row r="15">
      <c r="A15" s="205"/>
      <c r="B15" s="237">
        <v>0.0</v>
      </c>
      <c r="C15" s="238"/>
      <c r="D15" s="240"/>
      <c r="E15" s="242"/>
      <c r="F15" s="243"/>
      <c r="G15" s="205"/>
    </row>
    <row r="16">
      <c r="A16" s="205"/>
      <c r="B16" s="237">
        <v>0.0</v>
      </c>
      <c r="C16" s="238"/>
      <c r="D16" s="240"/>
      <c r="E16" s="242"/>
      <c r="F16" s="243"/>
      <c r="G16" s="205"/>
    </row>
    <row r="17">
      <c r="A17" s="205"/>
      <c r="B17" s="237">
        <v>0.0</v>
      </c>
      <c r="C17" s="238"/>
      <c r="D17" s="240"/>
      <c r="E17" s="242"/>
      <c r="F17" s="243"/>
      <c r="G17" s="205"/>
    </row>
    <row r="18">
      <c r="A18" s="205"/>
      <c r="B18" s="237">
        <v>0.0</v>
      </c>
      <c r="C18" s="238"/>
      <c r="D18" s="240"/>
      <c r="E18" s="242"/>
      <c r="F18" s="243"/>
      <c r="G18" s="205"/>
    </row>
    <row r="19">
      <c r="A19" s="205"/>
      <c r="B19" s="237">
        <v>0.0</v>
      </c>
      <c r="C19" s="238"/>
      <c r="D19" s="240"/>
      <c r="E19" s="242"/>
      <c r="F19" s="243"/>
      <c r="G19" s="205"/>
    </row>
    <row r="20">
      <c r="A20" s="205"/>
      <c r="B20" s="237">
        <v>0.0</v>
      </c>
      <c r="C20" s="238"/>
      <c r="D20" s="245"/>
      <c r="E20" s="247"/>
      <c r="F20" s="248"/>
      <c r="G20" s="205"/>
    </row>
    <row r="21">
      <c r="A21" s="205"/>
      <c r="B21" s="253">
        <f>SUM(B15:B20)</f>
        <v>0</v>
      </c>
      <c r="C21" s="255" t="str">
        <f>IF(B21=TIME(0, 60, 0), "Yess, YOU ARE SEXY", IF(B21&gt;TIME(0, 60, 0), "No Too much", "You can add "))</f>
        <v>You can add </v>
      </c>
      <c r="D21" s="256"/>
      <c r="E21" s="256"/>
      <c r="F21" s="257"/>
      <c r="G21" s="205"/>
    </row>
    <row r="22">
      <c r="A22" s="205"/>
      <c r="B22" s="259"/>
      <c r="C22" s="259"/>
      <c r="D22" s="259"/>
      <c r="E22" s="259"/>
      <c r="F22" s="259"/>
      <c r="G22" s="205"/>
    </row>
    <row r="23">
      <c r="A23" s="205"/>
      <c r="B23" s="260" t="s">
        <v>181</v>
      </c>
      <c r="C23" s="227"/>
      <c r="D23" s="260" t="s">
        <v>183</v>
      </c>
      <c r="E23" s="229"/>
      <c r="F23" s="227"/>
      <c r="G23" s="205"/>
    </row>
    <row r="24">
      <c r="A24" s="205"/>
      <c r="B24" s="262"/>
      <c r="C24" s="263"/>
      <c r="D24" s="264"/>
      <c r="E24" s="265"/>
      <c r="F24" s="263"/>
      <c r="G24" s="205"/>
    </row>
    <row r="25">
      <c r="A25" s="205"/>
      <c r="B25" s="266"/>
      <c r="C25" s="267"/>
      <c r="D25" s="266"/>
      <c r="F25" s="267"/>
      <c r="G25" s="205"/>
    </row>
    <row r="26">
      <c r="A26" s="205"/>
      <c r="B26" s="268"/>
      <c r="C26" s="270"/>
      <c r="D26" s="268"/>
      <c r="E26" s="271"/>
      <c r="F26" s="270"/>
      <c r="G26" s="205"/>
    </row>
    <row r="27">
      <c r="A27" s="205"/>
      <c r="B27" s="205"/>
      <c r="C27" s="205"/>
      <c r="D27" s="205"/>
      <c r="E27" s="205"/>
      <c r="F27" s="205"/>
      <c r="G27" s="205"/>
    </row>
  </sheetData>
  <mergeCells count="16">
    <mergeCell ref="B2:D3"/>
    <mergeCell ref="B5:E6"/>
    <mergeCell ref="F5:F6"/>
    <mergeCell ref="B8:C8"/>
    <mergeCell ref="D8:F8"/>
    <mergeCell ref="B9:C9"/>
    <mergeCell ref="D9:F9"/>
    <mergeCell ref="B24:C26"/>
    <mergeCell ref="D24:F26"/>
    <mergeCell ref="B11:C11"/>
    <mergeCell ref="D11:F11"/>
    <mergeCell ref="B12:C12"/>
    <mergeCell ref="D12:F12"/>
    <mergeCell ref="C21:F21"/>
    <mergeCell ref="B23:C23"/>
    <mergeCell ref="D23:F23"/>
  </mergeCells>
  <conditionalFormatting sqref="C21:F21">
    <cfRule type="cellIs" dxfId="1" priority="1" operator="equal">
      <formula>"Yess"</formula>
    </cfRule>
  </conditionalFormatting>
  <conditionalFormatting sqref="C21:F21">
    <cfRule type="containsText" dxfId="2" priority="2" operator="containsText" text="No Too much">
      <formula>NOT(ISERROR(SEARCH(("No Too much"),(C21))))</formula>
    </cfRule>
  </conditionalFormatting>
  <conditionalFormatting sqref="C21:F21">
    <cfRule type="containsText" dxfId="3" priority="3" operator="containsText" text="Less gooo!">
      <formula>NOT(ISERROR(SEARCH(("Less gooo!"),(C21))))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155"/>
    <outlinePr summaryBelow="0" summaryRight="0"/>
  </sheetPr>
  <sheetViews>
    <sheetView workbookViewId="0"/>
  </sheetViews>
  <sheetFormatPr customHeight="1" defaultColWidth="12.63" defaultRowHeight="15.75"/>
  <cols>
    <col customWidth="1" min="1" max="1" width="5.75"/>
    <col customWidth="1" min="2" max="2" width="13.38"/>
    <col customWidth="1" min="3" max="3" width="16.0"/>
    <col customWidth="1" min="4" max="4" width="22.38"/>
    <col customWidth="1" min="5" max="5" width="30.88"/>
    <col customWidth="1" min="6" max="6" width="20.88"/>
    <col customWidth="1" min="7" max="7" width="5.75"/>
  </cols>
  <sheetData>
    <row r="1">
      <c r="A1" s="201"/>
      <c r="B1" s="201"/>
      <c r="C1" s="201"/>
      <c r="D1" s="201"/>
      <c r="E1" s="201"/>
      <c r="F1" s="201"/>
      <c r="G1" s="205"/>
    </row>
    <row r="2">
      <c r="A2" s="205"/>
      <c r="B2" s="206" t="s">
        <v>161</v>
      </c>
      <c r="E2" s="205"/>
      <c r="F2" s="205"/>
      <c r="G2" s="205"/>
    </row>
    <row r="3">
      <c r="A3" s="205"/>
      <c r="E3" s="205"/>
      <c r="F3" s="205"/>
      <c r="G3" s="205"/>
    </row>
    <row r="4">
      <c r="A4" s="205"/>
      <c r="B4" s="205"/>
      <c r="C4" s="205"/>
      <c r="D4" s="205"/>
      <c r="E4" s="205"/>
      <c r="F4" s="205"/>
      <c r="G4" s="205"/>
    </row>
    <row r="5">
      <c r="A5" s="205"/>
      <c r="B5" s="208" t="s">
        <v>179</v>
      </c>
      <c r="C5" s="210"/>
      <c r="D5" s="210"/>
      <c r="E5" s="212"/>
      <c r="F5" s="214" t="s">
        <v>180</v>
      </c>
      <c r="G5" s="205"/>
    </row>
    <row r="6">
      <c r="A6" s="205"/>
      <c r="B6" s="215"/>
      <c r="C6" s="216"/>
      <c r="D6" s="216"/>
      <c r="E6" s="217"/>
      <c r="F6" s="219"/>
      <c r="G6" s="205"/>
    </row>
    <row r="7">
      <c r="A7" s="205"/>
      <c r="B7" s="220"/>
      <c r="C7" s="220"/>
      <c r="D7" s="220"/>
      <c r="E7" s="220"/>
      <c r="F7" s="220"/>
      <c r="G7" s="205"/>
    </row>
    <row r="8">
      <c r="A8" s="205"/>
      <c r="B8" s="222" t="s">
        <v>166</v>
      </c>
      <c r="C8" s="219"/>
      <c r="D8" s="224" t="s">
        <v>168</v>
      </c>
      <c r="F8" s="219"/>
      <c r="G8" s="205"/>
    </row>
    <row r="9">
      <c r="A9" s="205"/>
      <c r="B9" s="226"/>
      <c r="C9" s="227"/>
      <c r="D9" s="226"/>
      <c r="E9" s="229"/>
      <c r="F9" s="227"/>
      <c r="G9" s="205"/>
    </row>
    <row r="10">
      <c r="A10" s="205"/>
      <c r="B10" s="220"/>
      <c r="C10" s="220"/>
      <c r="D10" s="220"/>
      <c r="E10" s="220"/>
      <c r="F10" s="220"/>
      <c r="G10" s="205"/>
    </row>
    <row r="11">
      <c r="A11" s="205"/>
      <c r="B11" s="222" t="s">
        <v>170</v>
      </c>
      <c r="C11" s="219"/>
      <c r="D11" s="226"/>
      <c r="E11" s="229"/>
      <c r="F11" s="227"/>
      <c r="G11" s="205"/>
    </row>
    <row r="12">
      <c r="A12" s="205"/>
      <c r="B12" s="222" t="s">
        <v>171</v>
      </c>
      <c r="C12" s="219"/>
      <c r="D12" s="226"/>
      <c r="E12" s="229"/>
      <c r="F12" s="227"/>
      <c r="G12" s="205"/>
    </row>
    <row r="13">
      <c r="A13" s="205"/>
      <c r="B13" s="220"/>
      <c r="C13" s="220"/>
      <c r="D13" s="220"/>
      <c r="E13" s="220"/>
      <c r="F13" s="220"/>
      <c r="G13" s="205"/>
    </row>
    <row r="14">
      <c r="A14" s="205"/>
      <c r="B14" s="232" t="s">
        <v>172</v>
      </c>
      <c r="C14" s="233" t="s">
        <v>174</v>
      </c>
      <c r="D14" s="233" t="s">
        <v>175</v>
      </c>
      <c r="E14" s="235" t="s">
        <v>176</v>
      </c>
      <c r="F14" s="233" t="s">
        <v>177</v>
      </c>
      <c r="G14" s="205"/>
    </row>
    <row r="15">
      <c r="A15" s="205"/>
      <c r="B15" s="237">
        <v>0.0</v>
      </c>
      <c r="C15" s="238"/>
      <c r="D15" s="240"/>
      <c r="E15" s="242"/>
      <c r="F15" s="243"/>
      <c r="G15" s="205"/>
    </row>
    <row r="16">
      <c r="A16" s="205"/>
      <c r="B16" s="237">
        <v>0.0</v>
      </c>
      <c r="C16" s="238"/>
      <c r="D16" s="240"/>
      <c r="E16" s="242"/>
      <c r="F16" s="243"/>
      <c r="G16" s="205"/>
    </row>
    <row r="17">
      <c r="A17" s="205"/>
      <c r="B17" s="237">
        <v>0.0</v>
      </c>
      <c r="C17" s="238"/>
      <c r="D17" s="240"/>
      <c r="E17" s="242"/>
      <c r="F17" s="243"/>
      <c r="G17" s="205"/>
    </row>
    <row r="18">
      <c r="A18" s="205"/>
      <c r="B18" s="237">
        <v>0.0</v>
      </c>
      <c r="C18" s="238"/>
      <c r="D18" s="240"/>
      <c r="E18" s="242"/>
      <c r="F18" s="243"/>
      <c r="G18" s="205"/>
    </row>
    <row r="19">
      <c r="A19" s="205"/>
      <c r="B19" s="237">
        <v>0.0</v>
      </c>
      <c r="C19" s="238"/>
      <c r="D19" s="240"/>
      <c r="E19" s="242"/>
      <c r="F19" s="243"/>
      <c r="G19" s="205"/>
    </row>
    <row r="20">
      <c r="A20" s="205"/>
      <c r="B20" s="237">
        <v>0.0</v>
      </c>
      <c r="C20" s="238"/>
      <c r="D20" s="245"/>
      <c r="E20" s="247"/>
      <c r="F20" s="248"/>
      <c r="G20" s="205"/>
    </row>
    <row r="21">
      <c r="A21" s="205"/>
      <c r="B21" s="253">
        <f>SUM(B15:B20)</f>
        <v>0</v>
      </c>
      <c r="C21" s="255" t="str">
        <f>IF(B21=TIME(0, 60, 0), "Yess, YOU ARE SEXY", IF(B21&gt;TIME(0, 60, 0), "No Too much", "You can add "))</f>
        <v>You can add </v>
      </c>
      <c r="D21" s="256"/>
      <c r="E21" s="256"/>
      <c r="F21" s="257"/>
      <c r="G21" s="205"/>
    </row>
    <row r="22">
      <c r="A22" s="205"/>
      <c r="B22" s="259"/>
      <c r="C22" s="259"/>
      <c r="D22" s="259"/>
      <c r="E22" s="259"/>
      <c r="F22" s="259"/>
      <c r="G22" s="205"/>
    </row>
    <row r="23">
      <c r="A23" s="205"/>
      <c r="B23" s="260" t="s">
        <v>181</v>
      </c>
      <c r="C23" s="227"/>
      <c r="D23" s="260" t="s">
        <v>183</v>
      </c>
      <c r="E23" s="229"/>
      <c r="F23" s="227"/>
      <c r="G23" s="205"/>
    </row>
    <row r="24">
      <c r="A24" s="205"/>
      <c r="B24" s="262"/>
      <c r="C24" s="263"/>
      <c r="D24" s="264"/>
      <c r="E24" s="265"/>
      <c r="F24" s="263"/>
      <c r="G24" s="205"/>
    </row>
    <row r="25">
      <c r="A25" s="205"/>
      <c r="B25" s="266"/>
      <c r="C25" s="267"/>
      <c r="D25" s="266"/>
      <c r="F25" s="267"/>
      <c r="G25" s="205"/>
    </row>
    <row r="26">
      <c r="A26" s="205"/>
      <c r="B26" s="268"/>
      <c r="C26" s="270"/>
      <c r="D26" s="268"/>
      <c r="E26" s="271"/>
      <c r="F26" s="270"/>
      <c r="G26" s="205"/>
    </row>
    <row r="27">
      <c r="A27" s="205"/>
      <c r="B27" s="205"/>
      <c r="C27" s="205"/>
      <c r="D27" s="205"/>
      <c r="E27" s="205"/>
      <c r="F27" s="205"/>
      <c r="G27" s="205"/>
    </row>
  </sheetData>
  <mergeCells count="16">
    <mergeCell ref="B2:D3"/>
    <mergeCell ref="B5:E6"/>
    <mergeCell ref="F5:F6"/>
    <mergeCell ref="B8:C8"/>
    <mergeCell ref="D8:F8"/>
    <mergeCell ref="B9:C9"/>
    <mergeCell ref="D9:F9"/>
    <mergeCell ref="B24:C26"/>
    <mergeCell ref="D24:F26"/>
    <mergeCell ref="B11:C11"/>
    <mergeCell ref="D11:F11"/>
    <mergeCell ref="B12:C12"/>
    <mergeCell ref="D12:F12"/>
    <mergeCell ref="C21:F21"/>
    <mergeCell ref="B23:C23"/>
    <mergeCell ref="D23:F23"/>
  </mergeCells>
  <conditionalFormatting sqref="C21:F21">
    <cfRule type="cellIs" dxfId="1" priority="1" operator="equal">
      <formula>"Yess"</formula>
    </cfRule>
  </conditionalFormatting>
  <conditionalFormatting sqref="C21:F21">
    <cfRule type="containsText" dxfId="2" priority="2" operator="containsText" text="No Too much">
      <formula>NOT(ISERROR(SEARCH(("No Too much"),(C21))))</formula>
    </cfRule>
  </conditionalFormatting>
  <conditionalFormatting sqref="C21:F21">
    <cfRule type="containsText" dxfId="3" priority="3" operator="containsText" text="Less gooo!">
      <formula>NOT(ISERROR(SEARCH(("Less gooo!"),(C21))))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155"/>
    <outlinePr summaryBelow="0" summaryRight="0"/>
  </sheetPr>
  <sheetViews>
    <sheetView workbookViewId="0"/>
  </sheetViews>
  <sheetFormatPr customHeight="1" defaultColWidth="12.63" defaultRowHeight="15.75"/>
  <cols>
    <col customWidth="1" min="1" max="1" width="5.75"/>
    <col customWidth="1" min="2" max="2" width="13.38"/>
    <col customWidth="1" min="3" max="3" width="16.0"/>
    <col customWidth="1" min="4" max="4" width="22.38"/>
    <col customWidth="1" min="5" max="5" width="30.88"/>
    <col customWidth="1" min="6" max="6" width="20.88"/>
    <col customWidth="1" min="7" max="7" width="5.75"/>
  </cols>
  <sheetData>
    <row r="1">
      <c r="A1" s="201"/>
      <c r="B1" s="201"/>
      <c r="C1" s="201"/>
      <c r="D1" s="201"/>
      <c r="E1" s="201"/>
      <c r="F1" s="201"/>
      <c r="G1" s="205"/>
    </row>
    <row r="2">
      <c r="A2" s="205"/>
      <c r="B2" s="206" t="s">
        <v>161</v>
      </c>
      <c r="E2" s="205"/>
      <c r="F2" s="205"/>
      <c r="G2" s="205"/>
    </row>
    <row r="3">
      <c r="A3" s="205"/>
      <c r="E3" s="205"/>
      <c r="F3" s="205"/>
      <c r="G3" s="205"/>
    </row>
    <row r="4">
      <c r="A4" s="205"/>
      <c r="B4" s="205"/>
      <c r="C4" s="205"/>
      <c r="D4" s="205"/>
      <c r="E4" s="205"/>
      <c r="F4" s="205"/>
      <c r="G4" s="205"/>
    </row>
    <row r="5">
      <c r="A5" s="205"/>
      <c r="B5" s="208" t="s">
        <v>185</v>
      </c>
      <c r="C5" s="210"/>
      <c r="D5" s="210"/>
      <c r="E5" s="212"/>
      <c r="F5" s="214" t="s">
        <v>180</v>
      </c>
      <c r="G5" s="205"/>
    </row>
    <row r="6" ht="27.0" customHeight="1">
      <c r="A6" s="205"/>
      <c r="B6" s="215"/>
      <c r="C6" s="216"/>
      <c r="D6" s="216"/>
      <c r="E6" s="217"/>
      <c r="F6" s="219"/>
      <c r="G6" s="205"/>
    </row>
    <row r="7">
      <c r="A7" s="205"/>
      <c r="B7" s="220"/>
      <c r="C7" s="220"/>
      <c r="D7" s="220"/>
      <c r="E7" s="220"/>
      <c r="F7" s="220"/>
      <c r="G7" s="205"/>
    </row>
    <row r="8">
      <c r="A8" s="205"/>
      <c r="B8" s="222" t="s">
        <v>166</v>
      </c>
      <c r="C8" s="219"/>
      <c r="D8" s="224" t="s">
        <v>168</v>
      </c>
      <c r="F8" s="219"/>
      <c r="G8" s="205"/>
    </row>
    <row r="9">
      <c r="A9" s="205"/>
      <c r="B9" s="226"/>
      <c r="C9" s="227"/>
      <c r="D9" s="226"/>
      <c r="E9" s="229"/>
      <c r="F9" s="227"/>
      <c r="G9" s="205"/>
    </row>
    <row r="10">
      <c r="A10" s="205"/>
      <c r="B10" s="220"/>
      <c r="C10" s="220"/>
      <c r="D10" s="220"/>
      <c r="E10" s="220"/>
      <c r="F10" s="220"/>
      <c r="G10" s="205"/>
    </row>
    <row r="11">
      <c r="A11" s="205"/>
      <c r="B11" s="222" t="s">
        <v>170</v>
      </c>
      <c r="C11" s="219"/>
      <c r="D11" s="226"/>
      <c r="E11" s="229"/>
      <c r="F11" s="227"/>
      <c r="G11" s="205"/>
    </row>
    <row r="12">
      <c r="A12" s="205"/>
      <c r="B12" s="222" t="s">
        <v>171</v>
      </c>
      <c r="C12" s="219"/>
      <c r="D12" s="226"/>
      <c r="E12" s="229"/>
      <c r="F12" s="227"/>
      <c r="G12" s="205"/>
    </row>
    <row r="13">
      <c r="A13" s="205"/>
      <c r="B13" s="220"/>
      <c r="C13" s="220"/>
      <c r="D13" s="220"/>
      <c r="E13" s="220"/>
      <c r="F13" s="220"/>
      <c r="G13" s="205"/>
    </row>
    <row r="14">
      <c r="A14" s="205"/>
      <c r="B14" s="232" t="s">
        <v>172</v>
      </c>
      <c r="C14" s="233" t="s">
        <v>174</v>
      </c>
      <c r="D14" s="233" t="s">
        <v>175</v>
      </c>
      <c r="E14" s="235" t="s">
        <v>176</v>
      </c>
      <c r="F14" s="233" t="s">
        <v>177</v>
      </c>
      <c r="G14" s="205"/>
    </row>
    <row r="15">
      <c r="A15" s="205"/>
      <c r="B15" s="237">
        <v>0.0</v>
      </c>
      <c r="C15" s="238"/>
      <c r="D15" s="240"/>
      <c r="E15" s="242"/>
      <c r="F15" s="243"/>
      <c r="G15" s="205"/>
    </row>
    <row r="16">
      <c r="A16" s="205"/>
      <c r="B16" s="237">
        <v>0.0</v>
      </c>
      <c r="C16" s="238"/>
      <c r="D16" s="240"/>
      <c r="E16" s="242"/>
      <c r="F16" s="243"/>
      <c r="G16" s="205"/>
    </row>
    <row r="17">
      <c r="A17" s="205"/>
      <c r="B17" s="237">
        <v>0.0</v>
      </c>
      <c r="C17" s="238"/>
      <c r="D17" s="240"/>
      <c r="E17" s="242"/>
      <c r="F17" s="243"/>
      <c r="G17" s="205"/>
    </row>
    <row r="18">
      <c r="A18" s="205"/>
      <c r="B18" s="237">
        <v>0.0</v>
      </c>
      <c r="C18" s="238"/>
      <c r="D18" s="240"/>
      <c r="E18" s="242"/>
      <c r="F18" s="243"/>
      <c r="G18" s="205"/>
    </row>
    <row r="19">
      <c r="A19" s="205"/>
      <c r="B19" s="237">
        <v>0.0</v>
      </c>
      <c r="C19" s="238"/>
      <c r="D19" s="240"/>
      <c r="E19" s="242"/>
      <c r="F19" s="243"/>
      <c r="G19" s="205"/>
    </row>
    <row r="20">
      <c r="A20" s="205"/>
      <c r="B20" s="237">
        <v>0.0</v>
      </c>
      <c r="C20" s="238"/>
      <c r="D20" s="245"/>
      <c r="E20" s="247"/>
      <c r="F20" s="248"/>
      <c r="G20" s="205"/>
    </row>
    <row r="21">
      <c r="A21" s="205"/>
      <c r="B21" s="253">
        <f>SUM(B15:B20)</f>
        <v>0</v>
      </c>
      <c r="C21" s="255" t="str">
        <f>IF(B21=TIME(0, 60, 0), "Yess, YOU ARE SEXY", IF(B21&gt;TIME(0, 60, 0), "No Too much", "You can add "))</f>
        <v>You can add </v>
      </c>
      <c r="D21" s="256"/>
      <c r="E21" s="256"/>
      <c r="F21" s="257"/>
      <c r="G21" s="205"/>
    </row>
    <row r="22">
      <c r="A22" s="205"/>
      <c r="B22" s="259"/>
      <c r="C22" s="259"/>
      <c r="D22" s="259"/>
      <c r="E22" s="259"/>
      <c r="F22" s="259"/>
      <c r="G22" s="205"/>
    </row>
    <row r="23">
      <c r="A23" s="205"/>
      <c r="B23" s="260" t="s">
        <v>181</v>
      </c>
      <c r="C23" s="227"/>
      <c r="D23" s="260" t="s">
        <v>183</v>
      </c>
      <c r="E23" s="229"/>
      <c r="F23" s="227"/>
      <c r="G23" s="205"/>
    </row>
    <row r="24">
      <c r="A24" s="205"/>
      <c r="B24" s="262"/>
      <c r="C24" s="263"/>
      <c r="D24" s="264"/>
      <c r="E24" s="265"/>
      <c r="F24" s="263"/>
      <c r="G24" s="205"/>
    </row>
    <row r="25">
      <c r="A25" s="205"/>
      <c r="B25" s="266"/>
      <c r="C25" s="267"/>
      <c r="D25" s="266"/>
      <c r="F25" s="267"/>
      <c r="G25" s="205"/>
    </row>
    <row r="26">
      <c r="A26" s="205"/>
      <c r="B26" s="268"/>
      <c r="C26" s="270"/>
      <c r="D26" s="268"/>
      <c r="E26" s="271"/>
      <c r="F26" s="270"/>
      <c r="G26" s="205"/>
    </row>
    <row r="27">
      <c r="A27" s="205"/>
      <c r="B27" s="205"/>
      <c r="C27" s="205"/>
      <c r="D27" s="205"/>
      <c r="E27" s="205"/>
      <c r="F27" s="205"/>
      <c r="G27" s="205"/>
    </row>
  </sheetData>
  <mergeCells count="16">
    <mergeCell ref="B2:D3"/>
    <mergeCell ref="B5:E6"/>
    <mergeCell ref="F5:F6"/>
    <mergeCell ref="B8:C8"/>
    <mergeCell ref="D8:F8"/>
    <mergeCell ref="B9:C9"/>
    <mergeCell ref="D9:F9"/>
    <mergeCell ref="B24:C26"/>
    <mergeCell ref="D24:F26"/>
    <mergeCell ref="B11:C11"/>
    <mergeCell ref="D11:F11"/>
    <mergeCell ref="B12:C12"/>
    <mergeCell ref="D12:F12"/>
    <mergeCell ref="C21:F21"/>
    <mergeCell ref="B23:C23"/>
    <mergeCell ref="D23:F23"/>
  </mergeCells>
  <conditionalFormatting sqref="C21:F21">
    <cfRule type="cellIs" dxfId="1" priority="1" operator="equal">
      <formula>"Yess"</formula>
    </cfRule>
  </conditionalFormatting>
  <conditionalFormatting sqref="C21:F21">
    <cfRule type="containsText" dxfId="2" priority="2" operator="containsText" text="No Too much">
      <formula>NOT(ISERROR(SEARCH(("No Too much"),(C21))))</formula>
    </cfRule>
  </conditionalFormatting>
  <conditionalFormatting sqref="C21:F21">
    <cfRule type="containsText" dxfId="3" priority="3" operator="containsText" text="Less gooo!">
      <formula>NOT(ISERROR(SEARCH(("Less gooo!"),(C21))))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155"/>
    <outlinePr summaryBelow="0" summaryRight="0"/>
  </sheetPr>
  <sheetViews>
    <sheetView workbookViewId="0"/>
  </sheetViews>
  <sheetFormatPr customHeight="1" defaultColWidth="12.63" defaultRowHeight="15.75"/>
  <cols>
    <col customWidth="1" min="1" max="1" width="5.75"/>
    <col customWidth="1" min="2" max="2" width="13.38"/>
    <col customWidth="1" min="3" max="3" width="16.0"/>
    <col customWidth="1" min="4" max="4" width="22.38"/>
    <col customWidth="1" min="5" max="5" width="30.88"/>
    <col customWidth="1" min="6" max="6" width="20.88"/>
    <col customWidth="1" min="7" max="7" width="5.75"/>
  </cols>
  <sheetData>
    <row r="1">
      <c r="A1" s="201"/>
      <c r="B1" s="201"/>
      <c r="C1" s="201"/>
      <c r="D1" s="201"/>
      <c r="E1" s="201"/>
      <c r="F1" s="201"/>
      <c r="G1" s="205"/>
    </row>
    <row r="2">
      <c r="A2" s="205"/>
      <c r="B2" s="206" t="s">
        <v>161</v>
      </c>
      <c r="E2" s="205"/>
      <c r="F2" s="205"/>
      <c r="G2" s="205"/>
    </row>
    <row r="3">
      <c r="A3" s="205"/>
      <c r="E3" s="205"/>
      <c r="F3" s="205"/>
      <c r="G3" s="205"/>
    </row>
    <row r="4">
      <c r="A4" s="205"/>
      <c r="B4" s="205"/>
      <c r="C4" s="205"/>
      <c r="D4" s="205"/>
      <c r="E4" s="205"/>
      <c r="F4" s="205"/>
      <c r="G4" s="205"/>
    </row>
    <row r="5">
      <c r="A5" s="205"/>
      <c r="B5" s="208" t="s">
        <v>187</v>
      </c>
      <c r="C5" s="210"/>
      <c r="D5" s="210"/>
      <c r="E5" s="212"/>
      <c r="F5" s="214" t="s">
        <v>188</v>
      </c>
      <c r="G5" s="205"/>
    </row>
    <row r="6">
      <c r="A6" s="205"/>
      <c r="B6" s="215"/>
      <c r="C6" s="216"/>
      <c r="D6" s="216"/>
      <c r="E6" s="217"/>
      <c r="F6" s="219"/>
      <c r="G6" s="205"/>
    </row>
    <row r="7">
      <c r="A7" s="205"/>
      <c r="B7" s="220"/>
      <c r="C7" s="220"/>
      <c r="D7" s="220"/>
      <c r="E7" s="220"/>
      <c r="F7" s="220"/>
      <c r="G7" s="205"/>
    </row>
    <row r="8">
      <c r="A8" s="205"/>
      <c r="B8" s="222" t="s">
        <v>166</v>
      </c>
      <c r="C8" s="219"/>
      <c r="D8" s="224" t="s">
        <v>168</v>
      </c>
      <c r="F8" s="219"/>
      <c r="G8" s="205"/>
    </row>
    <row r="9">
      <c r="A9" s="205"/>
      <c r="B9" s="226" t="s">
        <v>91</v>
      </c>
      <c r="C9" s="227"/>
      <c r="D9" s="226"/>
      <c r="E9" s="229"/>
      <c r="F9" s="227"/>
      <c r="G9" s="205"/>
    </row>
    <row r="10">
      <c r="A10" s="205"/>
      <c r="B10" s="220"/>
      <c r="C10" s="220"/>
      <c r="D10" s="220"/>
      <c r="E10" s="220"/>
      <c r="F10" s="220"/>
      <c r="G10" s="205"/>
    </row>
    <row r="11">
      <c r="A11" s="205"/>
      <c r="B11" s="222" t="s">
        <v>170</v>
      </c>
      <c r="C11" s="219"/>
      <c r="D11" s="226" t="s">
        <v>81</v>
      </c>
      <c r="E11" s="229"/>
      <c r="F11" s="227"/>
      <c r="G11" s="205"/>
    </row>
    <row r="12">
      <c r="A12" s="205"/>
      <c r="B12" s="222" t="s">
        <v>171</v>
      </c>
      <c r="C12" s="219"/>
      <c r="D12" s="226" t="s">
        <v>94</v>
      </c>
      <c r="E12" s="229"/>
      <c r="F12" s="227"/>
      <c r="G12" s="205"/>
    </row>
    <row r="13">
      <c r="A13" s="205"/>
      <c r="B13" s="220"/>
      <c r="C13" s="220"/>
      <c r="D13" s="220"/>
      <c r="E13" s="220"/>
      <c r="F13" s="220"/>
      <c r="G13" s="205"/>
    </row>
    <row r="14">
      <c r="A14" s="205"/>
      <c r="B14" s="232" t="s">
        <v>172</v>
      </c>
      <c r="C14" s="233" t="s">
        <v>174</v>
      </c>
      <c r="D14" s="233" t="s">
        <v>175</v>
      </c>
      <c r="E14" s="235" t="s">
        <v>176</v>
      </c>
      <c r="F14" s="233" t="s">
        <v>177</v>
      </c>
      <c r="G14" s="205"/>
    </row>
    <row r="15">
      <c r="A15" s="205"/>
      <c r="B15" s="237">
        <v>0.004861111111111111</v>
      </c>
      <c r="C15" s="238" t="s">
        <v>191</v>
      </c>
      <c r="D15" s="240" t="s">
        <v>192</v>
      </c>
      <c r="E15" s="242" t="s">
        <v>193</v>
      </c>
      <c r="F15" s="243"/>
      <c r="G15" s="205"/>
    </row>
    <row r="16">
      <c r="A16" s="205"/>
      <c r="B16" s="237">
        <v>0.0</v>
      </c>
      <c r="C16" s="238" t="s">
        <v>195</v>
      </c>
      <c r="D16" s="240" t="s">
        <v>196</v>
      </c>
      <c r="E16" s="242" t="s">
        <v>198</v>
      </c>
      <c r="F16" s="243"/>
      <c r="G16" s="205"/>
    </row>
    <row r="17">
      <c r="A17" s="205"/>
      <c r="B17" s="237">
        <v>0.0</v>
      </c>
      <c r="C17" s="238" t="s">
        <v>200</v>
      </c>
      <c r="D17" s="240" t="s">
        <v>202</v>
      </c>
      <c r="E17" s="242"/>
      <c r="F17" s="243"/>
      <c r="G17" s="205"/>
    </row>
    <row r="18">
      <c r="A18" s="205"/>
      <c r="B18" s="237">
        <v>0.0</v>
      </c>
      <c r="C18" s="238"/>
      <c r="D18" s="240"/>
      <c r="E18" s="242"/>
      <c r="F18" s="243"/>
      <c r="G18" s="205"/>
    </row>
    <row r="19">
      <c r="A19" s="205"/>
      <c r="B19" s="237">
        <v>0.0</v>
      </c>
      <c r="C19" s="238"/>
      <c r="D19" s="240"/>
      <c r="E19" s="242"/>
      <c r="F19" s="243"/>
      <c r="G19" s="205"/>
    </row>
    <row r="20">
      <c r="A20" s="205"/>
      <c r="B20" s="237">
        <v>0.0</v>
      </c>
      <c r="C20" s="238"/>
      <c r="D20" s="245"/>
      <c r="E20" s="247"/>
      <c r="F20" s="248"/>
      <c r="G20" s="205"/>
    </row>
    <row r="21">
      <c r="A21" s="205"/>
      <c r="B21" s="253">
        <f>SUM(B15:B20)</f>
        <v>0.004861111111</v>
      </c>
      <c r="C21" s="255" t="str">
        <f>IF(B21=TIME(0, 60, 0), "Yess, YOU ARE SEXY", IF(B21&gt;TIME(0, 60, 0), "No Too much", "You can add "))</f>
        <v>You can add </v>
      </c>
      <c r="D21" s="256"/>
      <c r="E21" s="256"/>
      <c r="F21" s="257"/>
      <c r="G21" s="205"/>
    </row>
    <row r="22">
      <c r="A22" s="205"/>
      <c r="B22" s="259"/>
      <c r="C22" s="259"/>
      <c r="D22" s="259"/>
      <c r="E22" s="259"/>
      <c r="F22" s="259"/>
      <c r="G22" s="205"/>
    </row>
    <row r="23">
      <c r="A23" s="205"/>
      <c r="B23" s="260" t="s">
        <v>181</v>
      </c>
      <c r="C23" s="227"/>
      <c r="D23" s="260" t="s">
        <v>183</v>
      </c>
      <c r="E23" s="229"/>
      <c r="F23" s="227"/>
      <c r="G23" s="205"/>
    </row>
    <row r="24">
      <c r="A24" s="205"/>
      <c r="B24" s="262"/>
      <c r="C24" s="263"/>
      <c r="D24" s="264"/>
      <c r="E24" s="265"/>
      <c r="F24" s="263"/>
      <c r="G24" s="205"/>
    </row>
    <row r="25">
      <c r="A25" s="205"/>
      <c r="B25" s="266"/>
      <c r="C25" s="267"/>
      <c r="D25" s="266"/>
      <c r="F25" s="267"/>
      <c r="G25" s="205"/>
    </row>
    <row r="26">
      <c r="A26" s="205"/>
      <c r="B26" s="268"/>
      <c r="C26" s="270"/>
      <c r="D26" s="268"/>
      <c r="E26" s="271"/>
      <c r="F26" s="270"/>
      <c r="G26" s="205"/>
    </row>
    <row r="27">
      <c r="A27" s="205"/>
      <c r="B27" s="205"/>
      <c r="C27" s="205"/>
      <c r="D27" s="205"/>
      <c r="E27" s="205"/>
      <c r="F27" s="205"/>
      <c r="G27" s="205"/>
    </row>
  </sheetData>
  <mergeCells count="16">
    <mergeCell ref="B2:D3"/>
    <mergeCell ref="B5:E6"/>
    <mergeCell ref="F5:F6"/>
    <mergeCell ref="B8:C8"/>
    <mergeCell ref="D8:F8"/>
    <mergeCell ref="B9:C9"/>
    <mergeCell ref="D9:F9"/>
    <mergeCell ref="B24:C26"/>
    <mergeCell ref="D24:F26"/>
    <mergeCell ref="B11:C11"/>
    <mergeCell ref="D11:F11"/>
    <mergeCell ref="B12:C12"/>
    <mergeCell ref="D12:F12"/>
    <mergeCell ref="C21:F21"/>
    <mergeCell ref="B23:C23"/>
    <mergeCell ref="D23:F23"/>
  </mergeCells>
  <conditionalFormatting sqref="C21:F21">
    <cfRule type="cellIs" dxfId="1" priority="1" operator="equal">
      <formula>"Yess"</formula>
    </cfRule>
  </conditionalFormatting>
  <conditionalFormatting sqref="C21:F21">
    <cfRule type="containsText" dxfId="2" priority="2" operator="containsText" text="No Too much">
      <formula>NOT(ISERROR(SEARCH(("No Too much"),(C21))))</formula>
    </cfRule>
  </conditionalFormatting>
  <conditionalFormatting sqref="C21:F21">
    <cfRule type="containsText" dxfId="3" priority="3" operator="containsText" text="Less gooo!">
      <formula>NOT(ISERROR(SEARCH(("Less gooo!"),(C21))))</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155"/>
    <outlinePr summaryBelow="0" summaryRight="0"/>
  </sheetPr>
  <sheetViews>
    <sheetView workbookViewId="0"/>
  </sheetViews>
  <sheetFormatPr customHeight="1" defaultColWidth="12.63" defaultRowHeight="15.75"/>
  <cols>
    <col customWidth="1" min="1" max="1" width="5.75"/>
    <col customWidth="1" min="2" max="2" width="13.38"/>
    <col customWidth="1" min="3" max="3" width="16.0"/>
    <col customWidth="1" min="4" max="4" width="22.38"/>
    <col customWidth="1" min="5" max="5" width="30.88"/>
    <col customWidth="1" min="6" max="6" width="20.88"/>
    <col customWidth="1" min="7" max="7" width="5.75"/>
  </cols>
  <sheetData>
    <row r="1">
      <c r="A1" s="201"/>
      <c r="B1" s="201"/>
      <c r="C1" s="201"/>
      <c r="D1" s="201"/>
      <c r="E1" s="201"/>
      <c r="F1" s="201"/>
      <c r="G1" s="205"/>
    </row>
    <row r="2">
      <c r="A2" s="205"/>
      <c r="B2" s="206" t="s">
        <v>186</v>
      </c>
      <c r="E2" s="205"/>
      <c r="F2" s="205"/>
      <c r="G2" s="205"/>
    </row>
    <row r="3">
      <c r="A3" s="205"/>
      <c r="E3" s="205"/>
      <c r="F3" s="205"/>
      <c r="G3" s="205"/>
    </row>
    <row r="4">
      <c r="A4" s="205"/>
      <c r="B4" s="205"/>
      <c r="C4" s="205"/>
      <c r="D4" s="205"/>
      <c r="E4" s="205"/>
      <c r="F4" s="205"/>
      <c r="G4" s="205"/>
    </row>
    <row r="5">
      <c r="A5" s="205"/>
      <c r="B5" s="208" t="s">
        <v>112</v>
      </c>
      <c r="C5" s="210"/>
      <c r="D5" s="210"/>
      <c r="E5" s="212"/>
      <c r="F5" s="214" t="s">
        <v>188</v>
      </c>
      <c r="G5" s="205"/>
    </row>
    <row r="6">
      <c r="A6" s="205"/>
      <c r="B6" s="215"/>
      <c r="C6" s="216"/>
      <c r="D6" s="216"/>
      <c r="E6" s="217"/>
      <c r="F6" s="219"/>
      <c r="G6" s="205"/>
    </row>
    <row r="7">
      <c r="A7" s="205"/>
      <c r="B7" s="220"/>
      <c r="C7" s="220"/>
      <c r="D7" s="220"/>
      <c r="E7" s="220"/>
      <c r="F7" s="220"/>
      <c r="G7" s="205"/>
    </row>
    <row r="8">
      <c r="A8" s="205"/>
      <c r="B8" s="222" t="s">
        <v>166</v>
      </c>
      <c r="C8" s="219"/>
      <c r="D8" s="224" t="s">
        <v>168</v>
      </c>
      <c r="F8" s="219"/>
      <c r="G8" s="205"/>
    </row>
    <row r="9">
      <c r="A9" s="205"/>
      <c r="B9" s="226" t="s">
        <v>115</v>
      </c>
      <c r="C9" s="227"/>
      <c r="D9" s="226"/>
      <c r="E9" s="229"/>
      <c r="F9" s="227"/>
      <c r="G9" s="205"/>
    </row>
    <row r="10">
      <c r="A10" s="205"/>
      <c r="B10" s="220"/>
      <c r="C10" s="220"/>
      <c r="D10" s="220"/>
      <c r="E10" s="220"/>
      <c r="F10" s="220"/>
      <c r="G10" s="205"/>
    </row>
    <row r="11">
      <c r="A11" s="205"/>
      <c r="B11" s="222" t="s">
        <v>170</v>
      </c>
      <c r="C11" s="219"/>
      <c r="D11" s="226" t="s">
        <v>189</v>
      </c>
      <c r="E11" s="229"/>
      <c r="F11" s="227"/>
      <c r="G11" s="205"/>
    </row>
    <row r="12">
      <c r="A12" s="205"/>
      <c r="B12" s="222" t="s">
        <v>171</v>
      </c>
      <c r="C12" s="219"/>
      <c r="D12" s="226" t="s">
        <v>190</v>
      </c>
      <c r="E12" s="229"/>
      <c r="F12" s="227"/>
      <c r="G12" s="205"/>
    </row>
    <row r="13">
      <c r="A13" s="205"/>
      <c r="B13" s="220"/>
      <c r="C13" s="220"/>
      <c r="D13" s="220"/>
      <c r="E13" s="220"/>
      <c r="F13" s="220"/>
      <c r="G13" s="205"/>
    </row>
    <row r="14">
      <c r="A14" s="205"/>
      <c r="B14" s="232" t="s">
        <v>172</v>
      </c>
      <c r="C14" s="233" t="s">
        <v>174</v>
      </c>
      <c r="D14" s="233" t="s">
        <v>175</v>
      </c>
      <c r="E14" s="235" t="s">
        <v>176</v>
      </c>
      <c r="F14" s="233" t="s">
        <v>177</v>
      </c>
      <c r="G14" s="205"/>
    </row>
    <row r="15">
      <c r="A15" s="205"/>
      <c r="B15" s="237">
        <v>0.004861111111111111</v>
      </c>
      <c r="C15" s="238" t="s">
        <v>194</v>
      </c>
      <c r="D15" s="240" t="s">
        <v>197</v>
      </c>
      <c r="E15" s="242" t="s">
        <v>199</v>
      </c>
      <c r="F15" s="243" t="s">
        <v>201</v>
      </c>
      <c r="G15" s="205"/>
    </row>
    <row r="16">
      <c r="A16" s="205"/>
      <c r="B16" s="237">
        <v>0.003472222222222222</v>
      </c>
      <c r="C16" s="238" t="s">
        <v>203</v>
      </c>
      <c r="D16" s="240" t="s">
        <v>204</v>
      </c>
      <c r="E16" s="242" t="s">
        <v>205</v>
      </c>
      <c r="F16" s="243"/>
      <c r="G16" s="205"/>
    </row>
    <row r="17">
      <c r="A17" s="205"/>
      <c r="B17" s="237">
        <v>0.010416666666666666</v>
      </c>
      <c r="C17" s="238" t="s">
        <v>206</v>
      </c>
      <c r="D17" s="240" t="s">
        <v>207</v>
      </c>
      <c r="E17" s="242" t="s">
        <v>208</v>
      </c>
      <c r="F17" s="243"/>
      <c r="G17" s="205"/>
    </row>
    <row r="18">
      <c r="A18" s="205"/>
      <c r="B18" s="237">
        <v>0.006944444444444444</v>
      </c>
      <c r="C18" s="238" t="s">
        <v>209</v>
      </c>
      <c r="D18" s="240" t="s">
        <v>210</v>
      </c>
      <c r="E18" s="242" t="s">
        <v>211</v>
      </c>
      <c r="F18" s="243" t="s">
        <v>212</v>
      </c>
      <c r="G18" s="205"/>
    </row>
    <row r="19">
      <c r="A19" s="205"/>
      <c r="B19" s="237">
        <v>0.003472222222222222</v>
      </c>
      <c r="C19" s="238" t="s">
        <v>213</v>
      </c>
      <c r="D19" s="240" t="s">
        <v>214</v>
      </c>
      <c r="E19" s="242" t="s">
        <v>215</v>
      </c>
      <c r="F19" s="243" t="s">
        <v>216</v>
      </c>
      <c r="G19" s="205"/>
    </row>
    <row r="20">
      <c r="A20" s="205"/>
      <c r="B20" s="237">
        <v>0.0</v>
      </c>
      <c r="C20" s="238" t="s">
        <v>217</v>
      </c>
      <c r="D20" s="240" t="s">
        <v>218</v>
      </c>
      <c r="E20" s="274" t="s">
        <v>219</v>
      </c>
      <c r="F20" s="248"/>
      <c r="G20" s="205"/>
    </row>
    <row r="21">
      <c r="A21" s="205"/>
      <c r="B21" s="253">
        <f>SUM(B15:B20)</f>
        <v>0.02916666667</v>
      </c>
      <c r="C21" s="255" t="str">
        <f>IF(B21=TIME(0, 45, 0), "Yess, YOU ARE SEXY", IF(B21&gt;TIME(0, 45, 0), "No Too much", "You can add "))</f>
        <v>You can add </v>
      </c>
      <c r="D21" s="256"/>
      <c r="E21" s="256"/>
      <c r="F21" s="257"/>
      <c r="G21" s="205"/>
    </row>
    <row r="22">
      <c r="A22" s="205"/>
      <c r="B22" s="259"/>
      <c r="C22" s="259"/>
      <c r="D22" s="259"/>
      <c r="E22" s="259"/>
      <c r="F22" s="259"/>
      <c r="G22" s="205"/>
    </row>
    <row r="23">
      <c r="A23" s="205"/>
      <c r="B23" s="260" t="s">
        <v>181</v>
      </c>
      <c r="C23" s="227"/>
      <c r="D23" s="260" t="s">
        <v>183</v>
      </c>
      <c r="E23" s="229"/>
      <c r="F23" s="227"/>
      <c r="G23" s="205"/>
    </row>
    <row r="24">
      <c r="A24" s="205"/>
      <c r="B24" s="262"/>
      <c r="C24" s="263"/>
      <c r="D24" s="264"/>
      <c r="E24" s="265"/>
      <c r="F24" s="263"/>
      <c r="G24" s="205"/>
    </row>
    <row r="25">
      <c r="A25" s="205"/>
      <c r="B25" s="266"/>
      <c r="C25" s="267"/>
      <c r="D25" s="266"/>
      <c r="F25" s="267"/>
      <c r="G25" s="205"/>
    </row>
    <row r="26">
      <c r="A26" s="205"/>
      <c r="B26" s="268"/>
      <c r="C26" s="270"/>
      <c r="D26" s="268"/>
      <c r="E26" s="271"/>
      <c r="F26" s="270"/>
      <c r="G26" s="205"/>
    </row>
    <row r="27">
      <c r="A27" s="205"/>
      <c r="B27" s="205"/>
      <c r="C27" s="205"/>
      <c r="D27" s="205"/>
      <c r="E27" s="205"/>
      <c r="F27" s="205"/>
      <c r="G27" s="205"/>
    </row>
  </sheetData>
  <mergeCells count="16">
    <mergeCell ref="B2:D3"/>
    <mergeCell ref="B5:E6"/>
    <mergeCell ref="F5:F6"/>
    <mergeCell ref="B8:C8"/>
    <mergeCell ref="D8:F8"/>
    <mergeCell ref="B9:C9"/>
    <mergeCell ref="D9:F9"/>
    <mergeCell ref="B24:C26"/>
    <mergeCell ref="D24:F26"/>
    <mergeCell ref="B11:C11"/>
    <mergeCell ref="D11:F11"/>
    <mergeCell ref="B12:C12"/>
    <mergeCell ref="D12:F12"/>
    <mergeCell ref="C21:F21"/>
    <mergeCell ref="B23:C23"/>
    <mergeCell ref="D23:F23"/>
  </mergeCells>
  <conditionalFormatting sqref="C21:F21">
    <cfRule type="cellIs" dxfId="1" priority="1" operator="equal">
      <formula>"Yess"</formula>
    </cfRule>
  </conditionalFormatting>
  <conditionalFormatting sqref="C21:F21">
    <cfRule type="containsText" dxfId="2" priority="2" operator="containsText" text="No Too much">
      <formula>NOT(ISERROR(SEARCH(("No Too much"),(C21))))</formula>
    </cfRule>
  </conditionalFormatting>
  <conditionalFormatting sqref="C21:F21">
    <cfRule type="containsText" dxfId="3" priority="3" operator="containsText" text="Less gooo!">
      <formula>NOT(ISERROR(SEARCH(("Less gooo!"),(C21))))</formula>
    </cfRule>
  </conditionalFormatting>
  <drawing r:id="rId1"/>
</worksheet>
</file>